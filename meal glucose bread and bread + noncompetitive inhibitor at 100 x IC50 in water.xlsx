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filterPrivacy="1" defaultThemeVersion="124226"/>
  <xr:revisionPtr revIDLastSave="0" documentId="8_{FA2BD54C-76CD-4D68-BBB8-1CDFAB3DCC8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87" i="3" l="1"/>
  <c r="AC87" i="3" l="1"/>
  <c r="AF87" i="3"/>
  <c r="AE87" i="3"/>
  <c r="AD87" i="3"/>
  <c r="V87" i="3"/>
  <c r="S87" i="3"/>
  <c r="AA87" i="3" l="1"/>
  <c r="Z87" i="3"/>
  <c r="Y87" i="3"/>
  <c r="X87" i="3"/>
  <c r="U87" i="3"/>
  <c r="R87" i="3"/>
  <c r="AB87" i="3" l="1"/>
  <c r="Q87" i="3" l="1"/>
  <c r="P87" i="3"/>
  <c r="O87" i="3"/>
  <c r="N87" i="3"/>
  <c r="M87" i="3"/>
  <c r="D59" i="3" l="1"/>
  <c r="E59" i="3"/>
  <c r="F59" i="3"/>
  <c r="G59" i="3"/>
  <c r="H59" i="3"/>
  <c r="I59" i="3"/>
  <c r="J59" i="3"/>
  <c r="K59" i="3"/>
  <c r="L59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8" i="3" l="1"/>
  <c r="L86" i="3"/>
  <c r="L85" i="3"/>
  <c r="L84" i="3"/>
  <c r="L80" i="3"/>
  <c r="L79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5" i="3"/>
  <c r="L54" i="3"/>
  <c r="L53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5" i="3"/>
  <c r="L34" i="3"/>
  <c r="L33" i="3"/>
  <c r="L32" i="3"/>
  <c r="L30" i="3"/>
  <c r="L29" i="3"/>
  <c r="L28" i="3"/>
  <c r="L27" i="3"/>
  <c r="L25" i="3"/>
  <c r="L24" i="3"/>
  <c r="L23" i="3"/>
  <c r="L22" i="3"/>
  <c r="L20" i="3"/>
  <c r="L19" i="3"/>
  <c r="L18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87" i="3" l="1"/>
  <c r="K88" i="3"/>
  <c r="J88" i="3"/>
  <c r="I88" i="3"/>
  <c r="H88" i="3"/>
  <c r="G88" i="3"/>
  <c r="F88" i="3"/>
  <c r="E88" i="3"/>
  <c r="D88" i="3"/>
  <c r="K86" i="3"/>
  <c r="J86" i="3"/>
  <c r="I86" i="3"/>
  <c r="H86" i="3"/>
  <c r="G86" i="3"/>
  <c r="F86" i="3"/>
  <c r="E86" i="3"/>
  <c r="D86" i="3"/>
  <c r="K85" i="3"/>
  <c r="J85" i="3"/>
  <c r="I85" i="3"/>
  <c r="H85" i="3"/>
  <c r="G85" i="3"/>
  <c r="F85" i="3"/>
  <c r="E85" i="3"/>
  <c r="D85" i="3"/>
  <c r="K84" i="3"/>
  <c r="J84" i="3"/>
  <c r="I84" i="3"/>
  <c r="H84" i="3"/>
  <c r="G84" i="3"/>
  <c r="F84" i="3"/>
  <c r="E84" i="3"/>
  <c r="D84" i="3"/>
  <c r="K80" i="3"/>
  <c r="J80" i="3"/>
  <c r="I80" i="3"/>
  <c r="H80" i="3"/>
  <c r="G80" i="3"/>
  <c r="F80" i="3"/>
  <c r="E80" i="3"/>
  <c r="D80" i="3"/>
  <c r="K79" i="3"/>
  <c r="J79" i="3"/>
  <c r="I79" i="3"/>
  <c r="H79" i="3"/>
  <c r="G79" i="3"/>
  <c r="F79" i="3"/>
  <c r="E79" i="3"/>
  <c r="D79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5" i="3"/>
  <c r="J55" i="3"/>
  <c r="I55" i="3"/>
  <c r="H55" i="3"/>
  <c r="G55" i="3"/>
  <c r="F55" i="3"/>
  <c r="E55" i="3"/>
  <c r="D55" i="3"/>
  <c r="K54" i="3"/>
  <c r="J54" i="3"/>
  <c r="I54" i="3"/>
  <c r="H54" i="3"/>
  <c r="G54" i="3"/>
  <c r="F54" i="3"/>
  <c r="E54" i="3"/>
  <c r="D54" i="3"/>
  <c r="K53" i="3"/>
  <c r="J53" i="3"/>
  <c r="I53" i="3"/>
  <c r="H53" i="3"/>
  <c r="G53" i="3"/>
  <c r="F53" i="3"/>
  <c r="E53" i="3"/>
  <c r="D53" i="3"/>
  <c r="K51" i="3"/>
  <c r="J51" i="3"/>
  <c r="I51" i="3"/>
  <c r="H51" i="3"/>
  <c r="G51" i="3"/>
  <c r="F51" i="3"/>
  <c r="E51" i="3"/>
  <c r="D51" i="3"/>
  <c r="K50" i="3"/>
  <c r="J50" i="3"/>
  <c r="I50" i="3"/>
  <c r="H50" i="3"/>
  <c r="G50" i="3"/>
  <c r="F50" i="3"/>
  <c r="E50" i="3"/>
  <c r="D50" i="3"/>
  <c r="K49" i="3"/>
  <c r="E49" i="3"/>
  <c r="D49" i="3"/>
  <c r="K48" i="3"/>
  <c r="J48" i="3"/>
  <c r="I48" i="3"/>
  <c r="H48" i="3"/>
  <c r="G48" i="3"/>
  <c r="F48" i="3"/>
  <c r="E48" i="3"/>
  <c r="D48" i="3"/>
  <c r="K47" i="3"/>
  <c r="J47" i="3"/>
  <c r="I47" i="3"/>
  <c r="H47" i="3"/>
  <c r="G47" i="3"/>
  <c r="F47" i="3"/>
  <c r="E47" i="3"/>
  <c r="D47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3" i="3"/>
  <c r="J33" i="3"/>
  <c r="I33" i="3"/>
  <c r="F33" i="3"/>
  <c r="E33" i="3"/>
  <c r="D33" i="3"/>
  <c r="K32" i="3"/>
  <c r="J32" i="3"/>
  <c r="I32" i="3"/>
  <c r="F32" i="3"/>
  <c r="E32" i="3"/>
  <c r="D32" i="3"/>
  <c r="K31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G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H20" i="3"/>
  <c r="G20" i="3"/>
  <c r="F20" i="3"/>
  <c r="E20" i="3"/>
  <c r="D20" i="3"/>
  <c r="K19" i="3"/>
  <c r="H19" i="3"/>
  <c r="G19" i="3"/>
  <c r="D19" i="3"/>
  <c r="I87" i="3" l="1"/>
  <c r="D87" i="3"/>
  <c r="E87" i="3"/>
  <c r="G87" i="3"/>
  <c r="F87" i="3"/>
  <c r="H87" i="3"/>
  <c r="J87" i="3"/>
  <c r="K87" i="3"/>
  <c r="K18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8" i="3" l="1"/>
  <c r="I18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8" i="3" l="1"/>
  <c r="G18" i="3"/>
  <c r="F18" i="3"/>
  <c r="E18" i="3"/>
  <c r="D18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<sst xmlns="http://schemas.openxmlformats.org/spreadsheetml/2006/main" count="1117" uniqueCount="119">
  <si>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</si>
  <si>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</si>
  <si>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</si>
  <si>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</si>
  <si>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</si>
  <si>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</si>
  <si>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</si>
  <si>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</si>
  <si>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</si>
  <si>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</si>
  <si>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</si>
  <si>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</si>
  <si>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</si>
  <si>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</si>
  <si>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</si>
  <si>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</si>
  <si>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</si>
  <si>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</si>
  <si>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</si>
  <si>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</si>
  <si>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</si>
  <si>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</si>
  <si>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</si>
  <si>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</si>
  <si>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</si>
  <si>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</si>
  <si>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</si>
  <si>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</si>
  <si>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</si>
  <si>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</si>
  <si>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</si>
  <si>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</si>
  <si>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</si>
  <si>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</si>
  <si>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</si>
  <si>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</si>
  <si>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</si>
  <si>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</si>
  <si>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</si>
  <si>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</si>
  <si>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</si>
  <si>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</si>
  <si>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</si>
  <si>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</si>
  <si>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</si>
  <si>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</si>
  <si>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</si>
  <si>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</si>
  <si>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</si>
  <si>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</si>
  <si>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</si>
  <si>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</si>
  <si>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</si>
  <si>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</si>
  <si>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</si>
  <si>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</si>
  <si>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</si>
  <si>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</si>
  <si>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</si>
  <si>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</si>
  <si>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</si>
  <si>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</si>
  <si>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</si>
  <si>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</si>
  <si>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</si>
  <si>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</si>
  <si>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</si>
  <si>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</si>
  <si>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</si>
  <si>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</si>
  <si>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</si>
  <si>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</si>
  <si>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</si>
  <si>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</si>
  <si>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</si>
  <si>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</si>
  <si>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</si>
  <si>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</si>
  <si>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</si>
  <si>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</si>
  <si>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</si>
  <si>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</si>
  <si>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</si>
  <si>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</si>
  <si>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</si>
  <si>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</si>
  <si>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</si>
  <si>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</si>
  <si>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</si>
  <si>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</si>
  <si>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</si>
  <si>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</si>
  <si>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</si>
  <si>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</si>
  <si>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</si>
  <si>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</si>
  <si>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</si>
  <si>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</si>
  <si>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</si>
  <si>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</si>
  <si>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</si>
  <si>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</si>
  <si>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</si>
  <si>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</si>
  <si>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</si>
  <si>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</si>
  <si>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</si>
  <si>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</si>
  <si>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</si>
  <si>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</si>
  <si>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</si>
  <si>
    <t>Bcas</t>
  </si>
  <si>
    <t>I_c</t>
  </si>
  <si>
    <t>I_a</t>
  </si>
  <si>
    <t>I_nc</t>
  </si>
  <si>
    <t>I_c      competitive alpa amylase inhibitor</t>
  </si>
  <si>
    <t xml:space="preserve">I_a      acompetitive alpha amylase inhibitor    </t>
  </si>
  <si>
    <t>I_nc     non competitive alpha amylase inhibitor</t>
  </si>
  <si>
    <t>citric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</si>
</sst>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0" fillId="0" borderId="0" xfId="0" quotePrefix="1"/>
    <xf numFmtId="3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9"/>
  <sheetViews>
    <sheetView tabSelected="1" workbookViewId="0">
      <selection activeCell="B12" sqref="B12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8.88671875" style="7" customWidth="1"/>
    <col min="6" max="7" width="8.88671875" style="7" hidden="1" customWidth="1"/>
    <col min="8" max="8" width="9" style="7" hidden="1" customWidth="1"/>
    <col min="9" max="9" width="8.88671875" style="7" hidden="1" customWidth="1"/>
    <col min="10" max="10" width="8.5546875" style="7" hidden="1" customWidth="1"/>
    <col min="11" max="17" width="8.88671875" style="7" hidden="1" customWidth="1"/>
    <col min="18" max="18" width="8.88671875" style="7" customWidth="1"/>
    <col min="19" max="16384" width="8.88671875" style="7"/>
  </cols>
  <sheetData>
    <row r="1" spans="1:36" ht="23.4" x14ac:dyDescent="0.45">
      <c r="A1" s="6" t="s">
        <v>0</v>
      </c>
    </row>
    <row r="2" spans="1:36" x14ac:dyDescent="0.3">
      <c r="A2" s="7" t="s">
        <v>76</v>
      </c>
      <c r="D2" s="7" t="s">
        <v>27</v>
      </c>
      <c r="E2" s="7">
        <v>500</v>
      </c>
    </row>
    <row r="4" spans="1:36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1"/>
      <c r="AH4" s="8"/>
      <c r="AI4" s="8"/>
      <c r="AJ4" s="8"/>
    </row>
    <row r="5" spans="1:36" x14ac:dyDescent="0.3">
      <c r="A5" s="8" t="s">
        <v>27</v>
      </c>
      <c r="B5" s="8" t="s">
        <v>68</v>
      </c>
      <c r="C5" s="1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6" x14ac:dyDescent="0.3">
      <c r="A6" s="8">
        <v>0</v>
      </c>
      <c r="B6" s="8">
        <v>1</v>
      </c>
      <c r="C6">
        <v>250</v>
      </c>
      <c r="D6">
        <v>1</v>
      </c>
      <c r="E6">
        <v>10</v>
      </c>
      <c r="F6" s="8"/>
      <c r="R6" s="8"/>
      <c r="S6" s="8"/>
      <c r="T6" s="8"/>
      <c r="U6" s="8"/>
      <c r="V6" s="8"/>
      <c r="W6" s="8"/>
      <c r="X6" s="8"/>
      <c r="Y6" s="8"/>
      <c r="AA6" s="8"/>
    </row>
    <row r="7" spans="1:36" x14ac:dyDescent="0.3">
      <c r="A7" s="8">
        <v>1</v>
      </c>
      <c r="B7" s="8">
        <v>2</v>
      </c>
      <c r="C7">
        <v>50</v>
      </c>
      <c r="D7">
        <v>2</v>
      </c>
      <c r="E7">
        <v>50</v>
      </c>
      <c r="F7" s="8"/>
      <c r="R7" s="8"/>
      <c r="S7" s="8"/>
      <c r="T7" s="8"/>
      <c r="U7" s="8"/>
      <c r="V7" s="8"/>
      <c r="W7" s="8"/>
      <c r="X7" s="8"/>
      <c r="Y7" s="8"/>
      <c r="AA7" s="8"/>
    </row>
    <row r="8" spans="1:36" x14ac:dyDescent="0.3">
      <c r="A8" s="14">
        <v>300</v>
      </c>
      <c r="B8" s="9">
        <v>1</v>
      </c>
      <c r="C8" s="7">
        <v>250</v>
      </c>
      <c r="D8" s="7">
        <v>1</v>
      </c>
      <c r="E8" s="7">
        <v>50</v>
      </c>
      <c r="AD8" s="10"/>
      <c r="AE8" s="11"/>
      <c r="AF8" s="11"/>
    </row>
    <row r="9" spans="1:36" x14ac:dyDescent="0.3">
      <c r="A9" s="14">
        <v>301</v>
      </c>
      <c r="B9" s="9">
        <v>15</v>
      </c>
      <c r="C9" s="7">
        <v>132</v>
      </c>
      <c r="D9" s="7">
        <v>2</v>
      </c>
      <c r="E9" s="7">
        <v>50</v>
      </c>
      <c r="AD9" s="10"/>
      <c r="AE9" s="11"/>
      <c r="AF9" s="11"/>
    </row>
    <row r="10" spans="1:36" x14ac:dyDescent="0.3">
      <c r="A10" s="14">
        <v>600</v>
      </c>
      <c r="B10" s="9">
        <v>1</v>
      </c>
      <c r="C10" s="7">
        <v>250</v>
      </c>
      <c r="D10" s="7">
        <v>1</v>
      </c>
      <c r="E10" s="7">
        <v>50</v>
      </c>
      <c r="AD10" s="10"/>
      <c r="AE10" s="11"/>
      <c r="AF10" s="11"/>
    </row>
    <row r="11" spans="1:36" x14ac:dyDescent="0.3">
      <c r="A11" s="14">
        <v>601</v>
      </c>
      <c r="B11" s="9">
        <v>15</v>
      </c>
      <c r="C11">
        <v>132</v>
      </c>
      <c r="D11">
        <v>2</v>
      </c>
      <c r="E11" s="7">
        <v>50</v>
      </c>
      <c r="R11"/>
      <c r="S11"/>
      <c r="T11"/>
      <c r="U11"/>
      <c r="V11"/>
      <c r="W11"/>
      <c r="X11"/>
      <c r="Y11"/>
      <c r="AA11"/>
      <c r="AD11" s="10"/>
      <c r="AE11" s="11"/>
      <c r="AF11" s="11"/>
    </row>
    <row r="12" spans="1:36" x14ac:dyDescent="0.3">
      <c r="A12" s="14">
        <v>602</v>
      </c>
      <c r="B12" s="9">
        <v>29</v>
      </c>
      <c r="C12">
        <v>0.125</v>
      </c>
      <c r="D12">
        <v>2</v>
      </c>
      <c r="E12">
        <v>50</v>
      </c>
      <c r="R12"/>
      <c r="S12"/>
      <c r="T12"/>
      <c r="U12"/>
      <c r="V12"/>
      <c r="W12"/>
      <c r="X12"/>
      <c r="Y12"/>
      <c r="AA12"/>
      <c r="AD12" s="10"/>
      <c r="AE12" s="11"/>
      <c r="AF12" s="11"/>
    </row>
    <row r="13" spans="1:36" x14ac:dyDescent="0.3">
      <c r="A13" s="14">
        <v>900</v>
      </c>
      <c r="B13" s="9">
        <v>1</v>
      </c>
      <c r="C13">
        <v>250</v>
      </c>
      <c r="D13">
        <v>1</v>
      </c>
      <c r="E13">
        <v>50</v>
      </c>
      <c r="R13"/>
      <c r="S13"/>
      <c r="T13"/>
      <c r="U13"/>
      <c r="V13"/>
      <c r="W13"/>
      <c r="X13"/>
      <c r="Y13"/>
      <c r="AA13"/>
      <c r="AD13" s="10"/>
      <c r="AE13" s="11"/>
      <c r="AF13" s="11"/>
    </row>
    <row r="14" spans="1:36" x14ac:dyDescent="0.3">
      <c r="A14" s="9">
        <v>9999</v>
      </c>
      <c r="B14" s="8"/>
    </row>
    <row r="15" spans="1:36" x14ac:dyDescent="0.3">
      <c r="B15" s="8"/>
      <c r="C15" s="8"/>
    </row>
    <row r="16" spans="1:36" s="8" customFormat="1" ht="18" x14ac:dyDescent="0.35">
      <c r="A16" s="12" t="s">
        <v>72</v>
      </c>
      <c r="C16" s="8" t="s">
        <v>68</v>
      </c>
      <c r="D16" s="12">
        <v>1</v>
      </c>
      <c r="E16" s="12">
        <v>2</v>
      </c>
      <c r="F16" s="12">
        <v>3</v>
      </c>
      <c r="G16" s="12">
        <v>4</v>
      </c>
      <c r="H16" s="12">
        <v>5</v>
      </c>
      <c r="I16" s="12">
        <v>6</v>
      </c>
      <c r="J16" s="12">
        <v>7</v>
      </c>
      <c r="K16" s="12">
        <v>8</v>
      </c>
      <c r="L16" s="12">
        <v>9</v>
      </c>
      <c r="M16" s="12">
        <v>10</v>
      </c>
      <c r="N16" s="12">
        <v>11</v>
      </c>
      <c r="O16" s="12">
        <v>12</v>
      </c>
      <c r="P16" s="12">
        <v>13</v>
      </c>
      <c r="Q16" s="12">
        <v>14</v>
      </c>
      <c r="R16" s="12">
        <v>15</v>
      </c>
      <c r="S16" s="12">
        <v>16</v>
      </c>
      <c r="T16" s="12">
        <v>17</v>
      </c>
      <c r="U16" s="12">
        <v>18</v>
      </c>
      <c r="V16" s="12">
        <v>19</v>
      </c>
      <c r="W16" s="12">
        <v>20</v>
      </c>
      <c r="X16" s="12">
        <v>21</v>
      </c>
      <c r="Y16" s="12">
        <v>22</v>
      </c>
      <c r="Z16" s="12">
        <v>23</v>
      </c>
      <c r="AA16" s="12">
        <v>24</v>
      </c>
      <c r="AB16" s="12">
        <v>25</v>
      </c>
      <c r="AC16" s="2">
        <v>26</v>
      </c>
      <c r="AD16" s="1">
        <v>27</v>
      </c>
      <c r="AE16" s="1">
        <v>28</v>
      </c>
      <c r="AF16" s="1">
        <v>29</v>
      </c>
      <c r="AG16" s="1">
        <v>30</v>
      </c>
      <c r="AH16" s="8">
        <v>9999</v>
      </c>
    </row>
    <row r="17" spans="1:33" x14ac:dyDescent="0.3">
      <c r="A17" s="8" t="s">
        <v>75</v>
      </c>
      <c r="B17" s="8"/>
      <c r="C17" s="8"/>
      <c r="D17" s="11" t="s">
        <v>8</v>
      </c>
      <c r="E17" s="11" t="s">
        <v>2</v>
      </c>
      <c r="F17" s="11" t="s">
        <v>4</v>
      </c>
      <c r="G17" s="11" t="s">
        <v>73</v>
      </c>
      <c r="H17" s="11" t="s">
        <v>74</v>
      </c>
      <c r="I17" s="10" t="s">
        <v>84</v>
      </c>
      <c r="J17" s="10" t="s">
        <v>85</v>
      </c>
      <c r="K17" s="10" t="s">
        <v>87</v>
      </c>
      <c r="L17" s="11" t="s">
        <v>38</v>
      </c>
      <c r="M17" s="8" t="s">
        <v>94</v>
      </c>
      <c r="N17" s="8" t="s">
        <v>95</v>
      </c>
      <c r="O17" s="8" t="s">
        <v>97</v>
      </c>
      <c r="P17" s="8" t="s">
        <v>99</v>
      </c>
      <c r="Q17" s="8" t="s">
        <v>98</v>
      </c>
      <c r="R17" s="16" t="s">
        <v>105</v>
      </c>
      <c r="S17" s="17" t="s">
        <v>107</v>
      </c>
      <c r="T17" s="17" t="s">
        <v>108</v>
      </c>
      <c r="U17" s="18" t="s">
        <v>106</v>
      </c>
      <c r="V17" s="18" t="s">
        <v>109</v>
      </c>
      <c r="W17" s="18" t="s">
        <v>110</v>
      </c>
      <c r="X17" t="s">
        <v>8</v>
      </c>
      <c r="Y17" t="s">
        <v>8</v>
      </c>
      <c r="Z17" t="s">
        <v>8</v>
      </c>
      <c r="AA17" t="s">
        <v>8</v>
      </c>
      <c r="AB17" s="1" t="s">
        <v>6</v>
      </c>
      <c r="AC17" s="1" t="s">
        <v>111</v>
      </c>
      <c r="AD17" s="1" t="s">
        <v>112</v>
      </c>
      <c r="AE17" s="1" t="s">
        <v>113</v>
      </c>
      <c r="AF17" s="1" t="s">
        <v>114</v>
      </c>
      <c r="AG17" s="1" t="s">
        <v>118</v>
      </c>
    </row>
    <row r="18" spans="1:33" x14ac:dyDescent="0.3">
      <c r="A18" s="7" t="s">
        <v>1</v>
      </c>
      <c r="C18" s="7" t="s">
        <v>43</v>
      </c>
      <c r="D18" s="7">
        <f>water!D4</f>
        <v>7</v>
      </c>
      <c r="E18" s="7">
        <f>glucose!D4</f>
        <v>7</v>
      </c>
      <c r="F18" s="7">
        <f>sucrose!D4</f>
        <v>7</v>
      </c>
      <c r="G18" s="7">
        <f>'milk choc'!D4</f>
        <v>7</v>
      </c>
      <c r="H18" s="13">
        <f>'milk chocolate arabinose'!D4</f>
        <v>7</v>
      </c>
      <c r="I18" s="7">
        <f>'gastic milk choc'!D4</f>
        <v>7</v>
      </c>
      <c r="J18" s="7">
        <f>'gastic milk choc arab'!D4</f>
        <v>7</v>
      </c>
      <c r="K18" s="7">
        <f>emulsie!D4</f>
        <v>7</v>
      </c>
      <c r="L18" s="7">
        <f>arabinose!D4</f>
        <v>7</v>
      </c>
      <c r="M18" s="7">
        <v>7</v>
      </c>
      <c r="N18" s="7">
        <v>7</v>
      </c>
      <c r="O18" s="7">
        <v>7</v>
      </c>
      <c r="P18">
        <v>7</v>
      </c>
      <c r="Q18">
        <v>7</v>
      </c>
      <c r="R18" s="16">
        <v>7</v>
      </c>
      <c r="S18" s="16">
        <v>7</v>
      </c>
      <c r="T18" s="16">
        <v>7</v>
      </c>
      <c r="U18" s="18">
        <v>7</v>
      </c>
      <c r="V18" s="18">
        <v>7</v>
      </c>
      <c r="W18" s="18">
        <v>7</v>
      </c>
      <c r="X18">
        <v>0</v>
      </c>
      <c r="Y18">
        <v>0</v>
      </c>
      <c r="Z18">
        <v>0</v>
      </c>
      <c r="AA18">
        <v>0</v>
      </c>
      <c r="AB18" s="8">
        <v>7</v>
      </c>
      <c r="AC18" s="1">
        <v>7</v>
      </c>
      <c r="AD18" s="1">
        <v>7</v>
      </c>
      <c r="AE18" s="1">
        <v>7</v>
      </c>
      <c r="AF18" s="1">
        <v>7</v>
      </c>
      <c r="AG18" s="1">
        <v>3</v>
      </c>
    </row>
    <row r="19" spans="1:33" x14ac:dyDescent="0.3">
      <c r="A19" s="7" t="s">
        <v>42</v>
      </c>
      <c r="C19" s="7" t="s">
        <v>104</v>
      </c>
      <c r="D19" s="7">
        <f>water!D5</f>
        <v>0</v>
      </c>
      <c r="E19" s="7">
        <v>1</v>
      </c>
      <c r="F19" s="7">
        <v>1</v>
      </c>
      <c r="G19" s="7">
        <f>'milk choc'!D5</f>
        <v>1</v>
      </c>
      <c r="H19" s="13">
        <f>'milk chocolate arabinose'!D5</f>
        <v>1</v>
      </c>
      <c r="I19" s="7">
        <v>0</v>
      </c>
      <c r="J19" s="7">
        <v>0</v>
      </c>
      <c r="K19" s="7">
        <f>emulsie!D5</f>
        <v>0</v>
      </c>
      <c r="L19" s="7">
        <f>arabinose!D5</f>
        <v>1</v>
      </c>
      <c r="M19" s="7">
        <v>2</v>
      </c>
      <c r="N19" s="7">
        <v>1</v>
      </c>
      <c r="O19" s="7">
        <v>1</v>
      </c>
      <c r="P19">
        <v>1</v>
      </c>
      <c r="Q19">
        <v>1</v>
      </c>
      <c r="R19" s="16">
        <v>20</v>
      </c>
      <c r="S19" s="16">
        <v>5</v>
      </c>
      <c r="T19" s="16">
        <v>1</v>
      </c>
      <c r="U19" s="18">
        <v>20</v>
      </c>
      <c r="V19" s="18">
        <v>5</v>
      </c>
      <c r="W19" s="18">
        <v>1</v>
      </c>
      <c r="X19">
        <v>0</v>
      </c>
      <c r="Y19">
        <v>0</v>
      </c>
      <c r="Z19">
        <v>0</v>
      </c>
      <c r="AA19">
        <v>0</v>
      </c>
      <c r="AB19" s="8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</row>
    <row r="20" spans="1:33" x14ac:dyDescent="0.3">
      <c r="A20" s="7" t="s">
        <v>44</v>
      </c>
      <c r="C20" s="7" t="s">
        <v>45</v>
      </c>
      <c r="D20" s="7">
        <f>water!D6</f>
        <v>1</v>
      </c>
      <c r="E20" s="7">
        <f>glucose!D6</f>
        <v>1</v>
      </c>
      <c r="F20" s="7">
        <f>sucrose!D6</f>
        <v>1</v>
      </c>
      <c r="G20" s="7">
        <f>'milk choc'!D6</f>
        <v>1</v>
      </c>
      <c r="H20" s="13">
        <f>'milk chocolate arabinose'!D6</f>
        <v>1</v>
      </c>
      <c r="I20" s="7">
        <v>1000</v>
      </c>
      <c r="J20" s="7">
        <v>1000</v>
      </c>
      <c r="K20" s="7">
        <f>emulsie!D6</f>
        <v>1</v>
      </c>
      <c r="L20" s="7">
        <f>arabinose!D6</f>
        <v>1</v>
      </c>
      <c r="M20" s="7">
        <v>1000</v>
      </c>
      <c r="N20" s="7">
        <v>1</v>
      </c>
      <c r="O20" s="7">
        <v>1</v>
      </c>
      <c r="P20">
        <v>10000</v>
      </c>
      <c r="Q20">
        <v>10000</v>
      </c>
      <c r="R20" s="16">
        <v>1000</v>
      </c>
      <c r="S20" s="16">
        <v>10</v>
      </c>
      <c r="T20" s="16">
        <v>10</v>
      </c>
      <c r="U20" s="18">
        <v>1000</v>
      </c>
      <c r="V20" s="18">
        <v>10</v>
      </c>
      <c r="W20" s="18">
        <v>10</v>
      </c>
      <c r="X20">
        <v>0</v>
      </c>
      <c r="Y20">
        <v>0</v>
      </c>
      <c r="Z20">
        <v>0</v>
      </c>
      <c r="AA20">
        <v>0</v>
      </c>
      <c r="AB20" s="8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</row>
    <row r="21" spans="1:33" s="1" customFormat="1" x14ac:dyDescent="0.3">
      <c r="A21" s="1" t="s">
        <v>34</v>
      </c>
      <c r="C21" s="1" t="s">
        <v>27</v>
      </c>
      <c r="D21" s="1">
        <v>0.1</v>
      </c>
      <c r="E21" s="1">
        <v>0.1</v>
      </c>
      <c r="F21" s="1">
        <v>0.1</v>
      </c>
      <c r="G21" s="1">
        <v>1</v>
      </c>
      <c r="H21" s="15">
        <v>1</v>
      </c>
      <c r="I21" s="1">
        <v>5</v>
      </c>
      <c r="J21" s="1">
        <v>5</v>
      </c>
      <c r="K21" s="1">
        <f>emulsie!D7</f>
        <v>1</v>
      </c>
      <c r="L21" s="1">
        <v>0.1</v>
      </c>
      <c r="M21" s="1">
        <v>10</v>
      </c>
      <c r="N21" s="1">
        <v>50</v>
      </c>
      <c r="O21" s="1">
        <v>1</v>
      </c>
      <c r="P21" s="1">
        <v>10</v>
      </c>
      <c r="Q21" s="1">
        <v>20</v>
      </c>
      <c r="R21" s="17">
        <v>0.5</v>
      </c>
      <c r="S21" s="17">
        <v>10</v>
      </c>
      <c r="T21" s="17">
        <v>10</v>
      </c>
      <c r="U21" s="19">
        <v>0.5</v>
      </c>
      <c r="V21" s="19">
        <v>50</v>
      </c>
      <c r="W21" s="19">
        <v>50</v>
      </c>
      <c r="X21" s="1">
        <v>0.1</v>
      </c>
      <c r="Y21" s="1">
        <v>0.1</v>
      </c>
      <c r="Z21" s="1">
        <v>0.1</v>
      </c>
      <c r="AA21" s="1">
        <v>0.1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0.1</v>
      </c>
    </row>
    <row r="22" spans="1:33" x14ac:dyDescent="0.3">
      <c r="C22" s="7" t="s">
        <v>80</v>
      </c>
      <c r="D22" s="7">
        <f>water!D8</f>
        <v>0</v>
      </c>
      <c r="E22" s="7">
        <f>glucose!D8</f>
        <v>0</v>
      </c>
      <c r="F22" s="7">
        <f>sucrose!D8</f>
        <v>0</v>
      </c>
      <c r="G22" s="7">
        <f>'milk choc'!D8</f>
        <v>6</v>
      </c>
      <c r="H22" s="13">
        <v>7</v>
      </c>
      <c r="I22" s="7">
        <f>'gastic milk choc'!D8</f>
        <v>0</v>
      </c>
      <c r="J22" s="7">
        <f>'gastic milk choc arab'!D8</f>
        <v>0</v>
      </c>
      <c r="K22" s="7">
        <f>emulsie!D8</f>
        <v>0</v>
      </c>
      <c r="L22" s="7">
        <f>arabinose!D8</f>
        <v>0</v>
      </c>
      <c r="M22" s="7">
        <v>0</v>
      </c>
      <c r="N22" s="7">
        <v>0</v>
      </c>
      <c r="O22" s="7">
        <v>0</v>
      </c>
      <c r="P22">
        <v>10</v>
      </c>
      <c r="Q22">
        <v>11</v>
      </c>
      <c r="R22" s="16">
        <v>16</v>
      </c>
      <c r="S22" s="16">
        <v>17</v>
      </c>
      <c r="T22" s="16">
        <v>0</v>
      </c>
      <c r="U22" s="18">
        <v>19</v>
      </c>
      <c r="V22" s="18">
        <v>20</v>
      </c>
      <c r="W22" s="18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</row>
    <row r="23" spans="1:33" x14ac:dyDescent="0.3">
      <c r="C23" s="7" t="s">
        <v>82</v>
      </c>
      <c r="D23" s="7">
        <f>water!D9</f>
        <v>0</v>
      </c>
      <c r="E23" s="7">
        <f>glucose!D9</f>
        <v>0</v>
      </c>
      <c r="F23" s="7">
        <f>sucrose!D9</f>
        <v>0</v>
      </c>
      <c r="G23" s="7">
        <v>95</v>
      </c>
      <c r="H23" s="13">
        <v>95</v>
      </c>
      <c r="I23" s="7">
        <f>'gastic milk choc'!D9</f>
        <v>0</v>
      </c>
      <c r="J23" s="7">
        <f>'gastic milk choc arab'!D9</f>
        <v>0</v>
      </c>
      <c r="K23" s="7">
        <f>emulsie!D9</f>
        <v>0</v>
      </c>
      <c r="L23" s="7">
        <f>arabinose!D9</f>
        <v>0</v>
      </c>
      <c r="M23" s="7">
        <v>0</v>
      </c>
      <c r="N23" s="7">
        <v>0</v>
      </c>
      <c r="O23" s="7">
        <v>0</v>
      </c>
      <c r="P23">
        <v>50</v>
      </c>
      <c r="Q23">
        <v>100</v>
      </c>
      <c r="R23" s="16">
        <v>60</v>
      </c>
      <c r="S23" s="16">
        <v>100</v>
      </c>
      <c r="T23" s="16">
        <v>0</v>
      </c>
      <c r="U23" s="18">
        <v>70</v>
      </c>
      <c r="V23" s="18">
        <v>100</v>
      </c>
      <c r="W23" s="18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</row>
    <row r="24" spans="1:33" x14ac:dyDescent="0.3">
      <c r="C24" s="7" t="s">
        <v>81</v>
      </c>
      <c r="D24" s="7">
        <f>water!D10</f>
        <v>0</v>
      </c>
      <c r="E24" s="7">
        <f>glucose!D10</f>
        <v>0</v>
      </c>
      <c r="F24" s="7">
        <f>sucrose!D10</f>
        <v>0</v>
      </c>
      <c r="G24" s="7">
        <f>'milk choc'!D10</f>
        <v>0</v>
      </c>
      <c r="H24" s="13">
        <f>'milk chocolate arabinose'!D10</f>
        <v>0</v>
      </c>
      <c r="I24" s="7">
        <f>'gastic milk choc'!D10</f>
        <v>0</v>
      </c>
      <c r="J24" s="7">
        <f>'gastic milk choc arab'!D10</f>
        <v>0</v>
      </c>
      <c r="K24" s="7">
        <f>emulsie!D10</f>
        <v>0</v>
      </c>
      <c r="L24" s="7">
        <f>arabinose!D10</f>
        <v>0</v>
      </c>
      <c r="M24" s="7">
        <v>0</v>
      </c>
      <c r="N24" s="7">
        <v>0</v>
      </c>
      <c r="O24" s="7">
        <v>0</v>
      </c>
      <c r="P24">
        <v>0</v>
      </c>
      <c r="Q24">
        <v>0</v>
      </c>
      <c r="R24" s="16">
        <v>0</v>
      </c>
      <c r="S24" s="16">
        <v>0</v>
      </c>
      <c r="T24" s="16">
        <v>0</v>
      </c>
      <c r="U24" s="18">
        <v>0</v>
      </c>
      <c r="V24" s="18">
        <v>0</v>
      </c>
      <c r="W24" s="18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</row>
    <row r="25" spans="1:33" x14ac:dyDescent="0.3">
      <c r="C25" s="7" t="s">
        <v>82</v>
      </c>
      <c r="D25" s="7">
        <f>water!D11</f>
        <v>0</v>
      </c>
      <c r="E25" s="7">
        <f>glucose!D11</f>
        <v>0</v>
      </c>
      <c r="F25" s="7">
        <f>sucrose!D11</f>
        <v>0</v>
      </c>
      <c r="G25" s="7">
        <f>'milk choc'!D11</f>
        <v>0</v>
      </c>
      <c r="H25" s="13">
        <f>'milk chocolate arabinose'!D11</f>
        <v>0</v>
      </c>
      <c r="I25" s="7">
        <f>'gastic milk choc'!D11</f>
        <v>0</v>
      </c>
      <c r="J25" s="7">
        <f>'gastic milk choc arab'!D11</f>
        <v>0</v>
      </c>
      <c r="K25" s="7">
        <f>emulsie!D11</f>
        <v>0</v>
      </c>
      <c r="L25" s="7">
        <f>arabinose!D11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6">
        <v>0</v>
      </c>
      <c r="S25" s="16">
        <v>0</v>
      </c>
      <c r="T25" s="16">
        <v>0</v>
      </c>
      <c r="U25" s="18">
        <v>0</v>
      </c>
      <c r="V25" s="18">
        <v>0</v>
      </c>
      <c r="W25" s="18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</row>
    <row r="26" spans="1:33" s="1" customFormat="1" x14ac:dyDescent="0.3">
      <c r="A26" s="1" t="s">
        <v>35</v>
      </c>
      <c r="C26" s="1" t="s">
        <v>27</v>
      </c>
      <c r="D26" s="1">
        <v>0.1</v>
      </c>
      <c r="E26" s="1">
        <v>0.1</v>
      </c>
      <c r="F26" s="1">
        <v>0.1</v>
      </c>
      <c r="G26" s="1">
        <v>5</v>
      </c>
      <c r="H26" s="15">
        <v>5</v>
      </c>
      <c r="I26" s="1">
        <v>50</v>
      </c>
      <c r="J26" s="1">
        <v>50</v>
      </c>
      <c r="K26" s="1">
        <f>emulsie!D12</f>
        <v>1</v>
      </c>
      <c r="L26" s="1">
        <v>0.1</v>
      </c>
      <c r="M26" s="1">
        <v>10</v>
      </c>
      <c r="N26" s="1">
        <v>50</v>
      </c>
      <c r="O26" s="1">
        <v>1</v>
      </c>
      <c r="P26" s="1">
        <v>10</v>
      </c>
      <c r="Q26" s="1">
        <v>100</v>
      </c>
      <c r="R26" s="17">
        <v>5</v>
      </c>
      <c r="S26" s="17">
        <v>5</v>
      </c>
      <c r="T26" s="17">
        <v>5</v>
      </c>
      <c r="U26" s="19">
        <v>50</v>
      </c>
      <c r="V26" s="19">
        <v>50</v>
      </c>
      <c r="W26" s="19">
        <v>50</v>
      </c>
      <c r="X26" s="1">
        <v>0.1</v>
      </c>
      <c r="Y26" s="1">
        <v>0.1</v>
      </c>
      <c r="Z26" s="1">
        <v>0.1</v>
      </c>
      <c r="AA26" s="1">
        <v>0.1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0.1</v>
      </c>
    </row>
    <row r="27" spans="1:33" x14ac:dyDescent="0.3">
      <c r="C27" s="7" t="s">
        <v>80</v>
      </c>
      <c r="D27" s="7">
        <f>water!D13</f>
        <v>0</v>
      </c>
      <c r="E27" s="7">
        <f>glucose!D13</f>
        <v>0</v>
      </c>
      <c r="F27" s="7">
        <f>sucrose!D13</f>
        <v>0</v>
      </c>
      <c r="G27" s="7">
        <f>'milk choc'!D13</f>
        <v>6</v>
      </c>
      <c r="H27" s="13">
        <v>7</v>
      </c>
      <c r="I27" s="7">
        <f>'gastic milk choc'!D13</f>
        <v>0</v>
      </c>
      <c r="J27" s="7">
        <f>'gastic milk choc arab'!D13</f>
        <v>0</v>
      </c>
      <c r="K27" s="7">
        <f>emulsie!D13</f>
        <v>0</v>
      </c>
      <c r="L27" s="7">
        <f>arabinose!D13</f>
        <v>0</v>
      </c>
      <c r="M27" s="7">
        <v>0</v>
      </c>
      <c r="N27" s="7">
        <v>0</v>
      </c>
      <c r="O27" s="7">
        <v>0</v>
      </c>
      <c r="P27">
        <v>10</v>
      </c>
      <c r="Q27">
        <v>11</v>
      </c>
      <c r="R27" s="16">
        <v>16</v>
      </c>
      <c r="S27" s="16">
        <v>17</v>
      </c>
      <c r="T27" s="16">
        <v>0</v>
      </c>
      <c r="U27" s="18">
        <v>19</v>
      </c>
      <c r="V27" s="18">
        <v>20</v>
      </c>
      <c r="W27" s="18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</row>
    <row r="28" spans="1:33" x14ac:dyDescent="0.3">
      <c r="C28" s="7" t="s">
        <v>82</v>
      </c>
      <c r="D28" s="7">
        <f>water!D14</f>
        <v>0</v>
      </c>
      <c r="E28" s="7">
        <f>glucose!D14</f>
        <v>0</v>
      </c>
      <c r="F28" s="7">
        <f>sucrose!D14</f>
        <v>0</v>
      </c>
      <c r="G28" s="7">
        <v>100</v>
      </c>
      <c r="H28" s="13">
        <v>100</v>
      </c>
      <c r="I28" s="7">
        <f>'gastic milk choc'!D14</f>
        <v>0</v>
      </c>
      <c r="J28" s="7">
        <f>'gastic milk choc arab'!D14</f>
        <v>0</v>
      </c>
      <c r="K28" s="7">
        <f>emulsie!D14</f>
        <v>0</v>
      </c>
      <c r="L28" s="7">
        <f>arabinose!D14</f>
        <v>0</v>
      </c>
      <c r="M28" s="7">
        <v>0</v>
      </c>
      <c r="N28" s="7">
        <v>0</v>
      </c>
      <c r="O28" s="7">
        <v>0</v>
      </c>
      <c r="P28">
        <v>50</v>
      </c>
      <c r="Q28">
        <v>100</v>
      </c>
      <c r="R28" s="16">
        <v>60</v>
      </c>
      <c r="S28" s="16">
        <v>100</v>
      </c>
      <c r="T28" s="16">
        <v>0</v>
      </c>
      <c r="U28" s="18">
        <v>60</v>
      </c>
      <c r="V28" s="18">
        <v>100</v>
      </c>
      <c r="W28" s="18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</row>
    <row r="29" spans="1:33" x14ac:dyDescent="0.3">
      <c r="C29" s="7" t="s">
        <v>81</v>
      </c>
      <c r="D29" s="7">
        <f>water!D15</f>
        <v>0</v>
      </c>
      <c r="E29" s="7">
        <f>glucose!D15</f>
        <v>0</v>
      </c>
      <c r="F29" s="7">
        <f>sucrose!D15</f>
        <v>0</v>
      </c>
      <c r="G29" s="7">
        <f>'milk choc'!D15</f>
        <v>0</v>
      </c>
      <c r="H29" s="13">
        <f>'milk chocolate arabinose'!D15</f>
        <v>0</v>
      </c>
      <c r="I29" s="7">
        <f>'gastic milk choc'!D15</f>
        <v>0</v>
      </c>
      <c r="J29" s="7">
        <f>'gastic milk choc arab'!D15</f>
        <v>0</v>
      </c>
      <c r="K29" s="7">
        <f>emulsie!D15</f>
        <v>0</v>
      </c>
      <c r="L29" s="7">
        <f>arabinose!D15</f>
        <v>0</v>
      </c>
      <c r="M29" s="7">
        <v>0</v>
      </c>
      <c r="N29" s="7">
        <v>0</v>
      </c>
      <c r="O29" s="7">
        <v>0</v>
      </c>
      <c r="P29">
        <v>0</v>
      </c>
      <c r="Q29">
        <v>0</v>
      </c>
      <c r="R29" s="16">
        <v>0</v>
      </c>
      <c r="S29" s="16">
        <v>0</v>
      </c>
      <c r="T29" s="16">
        <v>0</v>
      </c>
      <c r="U29" s="18">
        <v>20</v>
      </c>
      <c r="V29" s="18">
        <v>0</v>
      </c>
      <c r="W29" s="18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</row>
    <row r="30" spans="1:33" x14ac:dyDescent="0.3">
      <c r="C30" s="7" t="s">
        <v>82</v>
      </c>
      <c r="D30" s="7">
        <f>water!D16</f>
        <v>0</v>
      </c>
      <c r="E30" s="7">
        <f>glucose!D16</f>
        <v>0</v>
      </c>
      <c r="F30" s="7">
        <f>sucrose!D16</f>
        <v>0</v>
      </c>
      <c r="G30" s="7">
        <f>'milk choc'!D16</f>
        <v>0</v>
      </c>
      <c r="H30" s="13">
        <f>'milk chocolate arabinose'!D16</f>
        <v>0</v>
      </c>
      <c r="I30" s="7">
        <f>'gastic milk choc'!D16</f>
        <v>0</v>
      </c>
      <c r="J30" s="7">
        <f>'gastic milk choc arab'!D16</f>
        <v>0</v>
      </c>
      <c r="K30" s="7">
        <f>emulsie!D16</f>
        <v>0</v>
      </c>
      <c r="L30" s="7">
        <f>arabinose!D16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6">
        <v>40</v>
      </c>
      <c r="S30" s="16">
        <v>0</v>
      </c>
      <c r="T30" s="16">
        <v>0</v>
      </c>
      <c r="U30" s="18">
        <v>40</v>
      </c>
      <c r="V30" s="18">
        <v>0</v>
      </c>
      <c r="W30" s="18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</row>
    <row r="31" spans="1:33" s="1" customFormat="1" x14ac:dyDescent="0.3">
      <c r="A31" s="1" t="s">
        <v>92</v>
      </c>
      <c r="C31" s="1" t="s">
        <v>27</v>
      </c>
      <c r="D31" s="1">
        <v>0.1</v>
      </c>
      <c r="E31" s="1">
        <v>0.1</v>
      </c>
      <c r="F31" s="1">
        <v>0.1</v>
      </c>
      <c r="G31" s="1">
        <v>1</v>
      </c>
      <c r="H31" s="15">
        <v>1</v>
      </c>
      <c r="I31" s="1">
        <v>1</v>
      </c>
      <c r="J31" s="1">
        <v>1</v>
      </c>
      <c r="K31" s="1">
        <f>emulsie!D17</f>
        <v>1</v>
      </c>
      <c r="L31" s="1">
        <v>0.1</v>
      </c>
      <c r="M31" s="1">
        <v>2</v>
      </c>
      <c r="N31" s="1">
        <v>10</v>
      </c>
      <c r="O31" s="1">
        <v>1</v>
      </c>
      <c r="P31" s="1">
        <v>10</v>
      </c>
      <c r="Q31" s="1">
        <v>100</v>
      </c>
      <c r="R31" s="17">
        <v>5</v>
      </c>
      <c r="S31" s="17">
        <v>1</v>
      </c>
      <c r="T31" s="17">
        <v>1</v>
      </c>
      <c r="U31" s="19">
        <v>10</v>
      </c>
      <c r="V31" s="19">
        <v>20</v>
      </c>
      <c r="W31" s="19">
        <v>20</v>
      </c>
      <c r="X31" s="1">
        <v>0.1</v>
      </c>
      <c r="Y31" s="1">
        <v>0.1</v>
      </c>
      <c r="Z31" s="1">
        <v>0.1</v>
      </c>
      <c r="AA31" s="1">
        <v>0.1</v>
      </c>
      <c r="AB31" s="1">
        <v>1</v>
      </c>
      <c r="AC31" s="1">
        <v>1</v>
      </c>
      <c r="AD31" s="1">
        <v>1</v>
      </c>
      <c r="AE31" s="1">
        <v>1</v>
      </c>
      <c r="AF31" s="1">
        <v>1</v>
      </c>
      <c r="AG31" s="1">
        <v>0.1</v>
      </c>
    </row>
    <row r="32" spans="1:33" x14ac:dyDescent="0.3">
      <c r="C32" s="7" t="s">
        <v>80</v>
      </c>
      <c r="D32" s="7">
        <f>water!D18</f>
        <v>0</v>
      </c>
      <c r="E32" s="7">
        <f>glucose!D18</f>
        <v>0</v>
      </c>
      <c r="F32" s="7">
        <f>sucrose!D18</f>
        <v>0</v>
      </c>
      <c r="G32" s="7">
        <v>6</v>
      </c>
      <c r="H32" s="13">
        <v>7</v>
      </c>
      <c r="I32" s="7">
        <f>'gastic milk choc'!D18</f>
        <v>0</v>
      </c>
      <c r="J32" s="7">
        <f>'gastic milk choc arab'!D18</f>
        <v>0</v>
      </c>
      <c r="K32" s="7">
        <f>emulsie!D18</f>
        <v>0</v>
      </c>
      <c r="L32" s="7">
        <f>arabinose!D18</f>
        <v>0</v>
      </c>
      <c r="M32" s="7">
        <v>0</v>
      </c>
      <c r="N32" s="7">
        <v>0</v>
      </c>
      <c r="O32" s="7">
        <v>0</v>
      </c>
      <c r="P32">
        <v>10</v>
      </c>
      <c r="Q32">
        <v>11</v>
      </c>
      <c r="R32" s="16">
        <v>16</v>
      </c>
      <c r="S32" s="16">
        <v>17</v>
      </c>
      <c r="T32" s="16">
        <v>0</v>
      </c>
      <c r="U32" s="18">
        <v>19</v>
      </c>
      <c r="V32" s="18">
        <v>20</v>
      </c>
      <c r="W32" s="18">
        <v>0</v>
      </c>
      <c r="X32" s="7">
        <v>0</v>
      </c>
      <c r="Y32" s="7">
        <v>0</v>
      </c>
      <c r="Z32" s="7">
        <v>0</v>
      </c>
      <c r="AA32" s="7">
        <v>0</v>
      </c>
      <c r="AB32" s="8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</row>
    <row r="33" spans="1:33" x14ac:dyDescent="0.3">
      <c r="C33" s="7" t="s">
        <v>82</v>
      </c>
      <c r="D33" s="7">
        <f>water!D19</f>
        <v>0</v>
      </c>
      <c r="E33" s="7">
        <f>glucose!D19</f>
        <v>0</v>
      </c>
      <c r="F33" s="7">
        <f>sucrose!D19</f>
        <v>0</v>
      </c>
      <c r="G33" s="7">
        <v>100</v>
      </c>
      <c r="H33" s="13">
        <v>100</v>
      </c>
      <c r="I33" s="7">
        <f>'gastic milk choc'!D19</f>
        <v>0</v>
      </c>
      <c r="J33" s="7">
        <f>'gastic milk choc arab'!D19</f>
        <v>0</v>
      </c>
      <c r="K33" s="7">
        <f>emulsie!D19</f>
        <v>0</v>
      </c>
      <c r="L33" s="7">
        <f>arabinose!D19</f>
        <v>0</v>
      </c>
      <c r="M33" s="7">
        <v>0</v>
      </c>
      <c r="N33" s="7">
        <v>0</v>
      </c>
      <c r="O33" s="7">
        <v>0</v>
      </c>
      <c r="P33">
        <v>50</v>
      </c>
      <c r="Q33">
        <v>100</v>
      </c>
      <c r="R33" s="16">
        <v>50</v>
      </c>
      <c r="S33" s="16">
        <v>100</v>
      </c>
      <c r="T33" s="16">
        <v>0</v>
      </c>
      <c r="U33" s="18">
        <v>50</v>
      </c>
      <c r="V33" s="18">
        <v>100</v>
      </c>
      <c r="W33" s="18">
        <v>0</v>
      </c>
      <c r="X33" s="7">
        <v>0</v>
      </c>
      <c r="Y33" s="7">
        <v>0</v>
      </c>
      <c r="Z33" s="7">
        <v>0</v>
      </c>
      <c r="AA33" s="7">
        <v>0</v>
      </c>
      <c r="AB33" s="8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</row>
    <row r="34" spans="1:33" x14ac:dyDescent="0.3">
      <c r="C34" s="7" t="s">
        <v>81</v>
      </c>
      <c r="D34" s="7">
        <f>water!D20</f>
        <v>0</v>
      </c>
      <c r="E34" s="7">
        <f>glucose!D20</f>
        <v>0</v>
      </c>
      <c r="F34" s="7">
        <f>sucrose!D20</f>
        <v>0</v>
      </c>
      <c r="G34" s="7">
        <f>'milk choc'!D20</f>
        <v>0</v>
      </c>
      <c r="H34" s="13">
        <f>'milk chocolate arabinose'!D20</f>
        <v>0</v>
      </c>
      <c r="I34" s="7">
        <f>'gastic milk choc'!D20</f>
        <v>0</v>
      </c>
      <c r="J34" s="7">
        <f>'gastic milk choc arab'!D20</f>
        <v>0</v>
      </c>
      <c r="K34" s="7">
        <f>emulsie!D20</f>
        <v>0</v>
      </c>
      <c r="L34" s="7">
        <f>arabinose!D20</f>
        <v>0</v>
      </c>
      <c r="M34" s="7">
        <v>0</v>
      </c>
      <c r="N34" s="7">
        <v>0</v>
      </c>
      <c r="O34" s="7">
        <v>0</v>
      </c>
      <c r="P34">
        <v>0</v>
      </c>
      <c r="Q34">
        <v>0</v>
      </c>
      <c r="R34" s="16">
        <v>0</v>
      </c>
      <c r="S34" s="16">
        <v>0</v>
      </c>
      <c r="T34" s="16">
        <v>0</v>
      </c>
      <c r="U34" s="18">
        <v>20</v>
      </c>
      <c r="V34" s="18">
        <v>0</v>
      </c>
      <c r="W34" s="18">
        <v>0</v>
      </c>
      <c r="X34" s="7">
        <v>0</v>
      </c>
      <c r="Y34" s="7">
        <v>0</v>
      </c>
      <c r="Z34" s="7">
        <v>0</v>
      </c>
      <c r="AA34" s="7">
        <v>0</v>
      </c>
      <c r="AB34" s="8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</row>
    <row r="35" spans="1:33" x14ac:dyDescent="0.3">
      <c r="C35" s="7" t="s">
        <v>82</v>
      </c>
      <c r="D35" s="7">
        <f>water!D21</f>
        <v>0</v>
      </c>
      <c r="E35" s="7">
        <f>glucose!D21</f>
        <v>0</v>
      </c>
      <c r="F35" s="7">
        <f>sucrose!D21</f>
        <v>0</v>
      </c>
      <c r="G35" s="7">
        <f>'milk choc'!D21</f>
        <v>0</v>
      </c>
      <c r="H35" s="13">
        <f>'milk chocolate arabinose'!D21</f>
        <v>0</v>
      </c>
      <c r="I35" s="7">
        <f>'gastic milk choc'!D21</f>
        <v>0</v>
      </c>
      <c r="J35" s="7">
        <f>'gastic milk choc arab'!D21</f>
        <v>0</v>
      </c>
      <c r="K35" s="7">
        <f>emulsie!D21</f>
        <v>0</v>
      </c>
      <c r="L35" s="7">
        <f>arabinose!D21</f>
        <v>0</v>
      </c>
      <c r="M35" s="7">
        <v>0</v>
      </c>
      <c r="N35" s="7">
        <v>0</v>
      </c>
      <c r="O35" s="7">
        <v>0</v>
      </c>
      <c r="P35">
        <v>0</v>
      </c>
      <c r="Q35">
        <v>0</v>
      </c>
      <c r="R35" s="16">
        <v>50</v>
      </c>
      <c r="S35" s="16">
        <v>0</v>
      </c>
      <c r="T35" s="16">
        <v>0</v>
      </c>
      <c r="U35" s="18">
        <v>50</v>
      </c>
      <c r="V35" s="18">
        <v>0</v>
      </c>
      <c r="W35" s="18">
        <v>0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</row>
    <row r="36" spans="1:33" x14ac:dyDescent="0.3">
      <c r="H36" s="13"/>
      <c r="P36"/>
      <c r="Q36"/>
      <c r="S36"/>
      <c r="T36"/>
      <c r="U36"/>
      <c r="V36"/>
      <c r="W36"/>
    </row>
    <row r="37" spans="1:33" x14ac:dyDescent="0.3">
      <c r="B37" s="8"/>
      <c r="C37" s="8"/>
      <c r="H37" s="13"/>
      <c r="P37"/>
      <c r="Q37"/>
      <c r="S37"/>
      <c r="T37"/>
      <c r="U37"/>
      <c r="V37"/>
      <c r="W37"/>
    </row>
    <row r="38" spans="1:33" x14ac:dyDescent="0.3">
      <c r="B38" s="8" t="s">
        <v>26</v>
      </c>
      <c r="C38" s="8"/>
      <c r="H38" s="13"/>
      <c r="P38"/>
      <c r="Q38"/>
      <c r="S38"/>
      <c r="T38"/>
      <c r="U38"/>
      <c r="V38"/>
      <c r="W38"/>
    </row>
    <row r="39" spans="1:33" x14ac:dyDescent="0.3">
      <c r="A39" s="7">
        <v>1</v>
      </c>
      <c r="B39" s="7" t="s">
        <v>8</v>
      </c>
      <c r="C39" s="7" t="s">
        <v>28</v>
      </c>
      <c r="D39" s="7">
        <f>water!D25</f>
        <v>100</v>
      </c>
      <c r="E39" s="7">
        <f>glucose!D25</f>
        <v>0</v>
      </c>
      <c r="F39" s="7">
        <f>sucrose!D25</f>
        <v>0</v>
      </c>
      <c r="G39" s="7">
        <f>'milk choc'!D25</f>
        <v>0</v>
      </c>
      <c r="H39" s="13">
        <f>'milk chocolate arabinose'!D25</f>
        <v>0</v>
      </c>
      <c r="I39" s="7">
        <f>'gastic milk choc'!D25</f>
        <v>36.94</v>
      </c>
      <c r="J39" s="7">
        <f>'gastic milk choc arab'!D25</f>
        <v>36.94</v>
      </c>
      <c r="K39" s="7">
        <f>emulsie!D25</f>
        <v>50</v>
      </c>
      <c r="L39" s="7">
        <f>arabinose!D25</f>
        <v>0</v>
      </c>
      <c r="M39" s="7">
        <v>0</v>
      </c>
      <c r="N39" s="7">
        <v>0</v>
      </c>
      <c r="O39" s="7">
        <v>0</v>
      </c>
      <c r="P39">
        <v>14</v>
      </c>
      <c r="Q39">
        <v>14</v>
      </c>
      <c r="R39" s="7">
        <v>67</v>
      </c>
      <c r="S39">
        <v>67</v>
      </c>
      <c r="T39">
        <v>67</v>
      </c>
      <c r="U39">
        <v>54</v>
      </c>
      <c r="V39">
        <v>54</v>
      </c>
      <c r="W39">
        <v>54</v>
      </c>
      <c r="X39" s="7">
        <v>100</v>
      </c>
      <c r="Y39" s="7">
        <v>100</v>
      </c>
      <c r="Z39" s="7">
        <v>100</v>
      </c>
      <c r="AA39" s="7">
        <v>100</v>
      </c>
      <c r="AB39" s="8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</row>
    <row r="40" spans="1:33" x14ac:dyDescent="0.3">
      <c r="A40" s="7">
        <v>2</v>
      </c>
      <c r="B40" s="7" t="s">
        <v>36</v>
      </c>
      <c r="C40" s="7" t="s">
        <v>28</v>
      </c>
      <c r="D40" s="7">
        <f>water!D26</f>
        <v>0</v>
      </c>
      <c r="E40" s="7">
        <f>glucose!D26</f>
        <v>0</v>
      </c>
      <c r="F40" s="7">
        <f>sucrose!D26</f>
        <v>0</v>
      </c>
      <c r="G40" s="7">
        <f>'milk choc'!D26</f>
        <v>32.729999999999997</v>
      </c>
      <c r="H40" s="13">
        <f>'milk chocolate arabinose'!D26</f>
        <v>32.729999999999997</v>
      </c>
      <c r="I40" s="7">
        <f>'gastic milk choc'!D26</f>
        <v>29.13</v>
      </c>
      <c r="J40" s="7">
        <f>'gastic milk choc arab'!D26</f>
        <v>29.13</v>
      </c>
      <c r="K40" s="7">
        <f>emulsie!D26</f>
        <v>50</v>
      </c>
      <c r="L40" s="7">
        <f>arabinose!D26</f>
        <v>0</v>
      </c>
      <c r="M40" s="7">
        <v>0</v>
      </c>
      <c r="N40" s="7">
        <v>0</v>
      </c>
      <c r="O40" s="7">
        <v>0</v>
      </c>
      <c r="P40">
        <v>0</v>
      </c>
      <c r="Q40">
        <v>0</v>
      </c>
      <c r="R40" s="7">
        <v>9</v>
      </c>
      <c r="S40">
        <v>9</v>
      </c>
      <c r="T40">
        <v>9</v>
      </c>
      <c r="U40">
        <v>9</v>
      </c>
      <c r="V40">
        <v>9</v>
      </c>
      <c r="W40">
        <v>9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</row>
    <row r="41" spans="1:33" x14ac:dyDescent="0.3">
      <c r="A41" s="7">
        <v>3</v>
      </c>
      <c r="B41" s="7" t="s">
        <v>2</v>
      </c>
      <c r="C41" s="7" t="s">
        <v>28</v>
      </c>
      <c r="D41" s="7">
        <f>water!D27</f>
        <v>0</v>
      </c>
      <c r="E41" s="7">
        <v>99</v>
      </c>
      <c r="F41" s="7">
        <f>sucrose!D27</f>
        <v>0</v>
      </c>
      <c r="G41" s="7">
        <f>'milk choc'!D27</f>
        <v>0</v>
      </c>
      <c r="H41" s="13">
        <f>'milk chocolate arabinose'!D27</f>
        <v>0</v>
      </c>
      <c r="I41" s="7">
        <f>'gastic milk choc'!D27</f>
        <v>0</v>
      </c>
      <c r="J41" s="7">
        <f>'gastic milk choc arab'!D27</f>
        <v>0</v>
      </c>
      <c r="K41" s="7">
        <f>emulsie!D27</f>
        <v>0</v>
      </c>
      <c r="L41" s="7">
        <f>arabinose!D27</f>
        <v>0</v>
      </c>
      <c r="M41" s="7">
        <v>0</v>
      </c>
      <c r="N41" s="7">
        <v>0</v>
      </c>
      <c r="O41" s="7">
        <v>0</v>
      </c>
      <c r="P41">
        <v>0</v>
      </c>
      <c r="Q41">
        <v>0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</row>
    <row r="42" spans="1:33" x14ac:dyDescent="0.3">
      <c r="A42" s="7">
        <v>4</v>
      </c>
      <c r="B42" s="7" t="s">
        <v>9</v>
      </c>
      <c r="C42" s="7" t="s">
        <v>28</v>
      </c>
      <c r="D42" s="7">
        <f>water!D28</f>
        <v>0</v>
      </c>
      <c r="E42" s="7">
        <f>glucose!D28</f>
        <v>0</v>
      </c>
      <c r="F42" s="7">
        <f>sucrose!D28</f>
        <v>0</v>
      </c>
      <c r="G42" s="7">
        <f>'milk choc'!D28</f>
        <v>1.08</v>
      </c>
      <c r="H42" s="13">
        <f>'milk chocolate arabinose'!D28</f>
        <v>1.08</v>
      </c>
      <c r="I42" s="7">
        <f>'gastic milk choc'!D28</f>
        <v>1.08</v>
      </c>
      <c r="J42" s="7">
        <f>'gastic milk choc arab'!D28</f>
        <v>1.08</v>
      </c>
      <c r="K42" s="7">
        <f>emulsie!D28</f>
        <v>0</v>
      </c>
      <c r="L42" s="7">
        <f>arabinose!D28</f>
        <v>0</v>
      </c>
      <c r="M42" s="7">
        <v>0</v>
      </c>
      <c r="N42" s="7">
        <v>0</v>
      </c>
      <c r="O42" s="7">
        <v>0</v>
      </c>
      <c r="P42">
        <v>0</v>
      </c>
      <c r="Q42">
        <v>0</v>
      </c>
      <c r="R42" s="7">
        <v>6</v>
      </c>
      <c r="S42">
        <v>6</v>
      </c>
      <c r="T42">
        <v>6</v>
      </c>
      <c r="U42">
        <v>6</v>
      </c>
      <c r="V42">
        <v>6</v>
      </c>
      <c r="W42">
        <v>6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</row>
    <row r="43" spans="1:33" x14ac:dyDescent="0.3">
      <c r="A43" s="7">
        <v>5</v>
      </c>
      <c r="B43" s="7" t="s">
        <v>20</v>
      </c>
      <c r="C43" s="7" t="s">
        <v>28</v>
      </c>
      <c r="D43" s="7">
        <f>water!D29</f>
        <v>0</v>
      </c>
      <c r="E43" s="7">
        <f>glucose!D29</f>
        <v>0</v>
      </c>
      <c r="F43" s="7">
        <f>sucrose!D29</f>
        <v>0</v>
      </c>
      <c r="G43" s="7">
        <f>'milk choc'!D29</f>
        <v>0</v>
      </c>
      <c r="H43" s="13">
        <f>'milk chocolate arabinose'!D29</f>
        <v>0</v>
      </c>
      <c r="I43" s="7">
        <f>'gastic milk choc'!D29</f>
        <v>0</v>
      </c>
      <c r="J43" s="7">
        <f>'gastic milk choc arab'!D29</f>
        <v>0</v>
      </c>
      <c r="K43" s="7">
        <f>emulsie!D29</f>
        <v>0</v>
      </c>
      <c r="L43" s="7">
        <f>arabinose!D29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</row>
    <row r="44" spans="1:33" x14ac:dyDescent="0.3">
      <c r="A44" s="7">
        <v>6</v>
      </c>
      <c r="B44" s="7" t="s">
        <v>66</v>
      </c>
      <c r="C44" s="7" t="s">
        <v>28</v>
      </c>
      <c r="D44" s="7">
        <f>water!D30</f>
        <v>0</v>
      </c>
      <c r="E44" s="7">
        <f>glucose!D30</f>
        <v>0</v>
      </c>
      <c r="F44" s="7">
        <f>sucrose!D30</f>
        <v>0</v>
      </c>
      <c r="G44" s="7">
        <f>'milk choc'!D30</f>
        <v>0</v>
      </c>
      <c r="H44" s="13">
        <f>'milk chocolate arabinose'!D30</f>
        <v>0</v>
      </c>
      <c r="I44" s="7">
        <f>'gastic milk choc'!D30</f>
        <v>0</v>
      </c>
      <c r="J44" s="7">
        <f>'gastic milk choc arab'!D30</f>
        <v>0</v>
      </c>
      <c r="K44" s="7">
        <f>emulsie!D30</f>
        <v>0</v>
      </c>
      <c r="L44" s="7">
        <f>arabinose!D30</f>
        <v>0</v>
      </c>
      <c r="M44" s="7">
        <v>0</v>
      </c>
      <c r="N44" s="7">
        <v>0</v>
      </c>
      <c r="O44" s="7">
        <v>0</v>
      </c>
      <c r="P44">
        <v>0</v>
      </c>
      <c r="Q44">
        <v>0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</row>
    <row r="45" spans="1:33" x14ac:dyDescent="0.3">
      <c r="A45" s="7">
        <v>10</v>
      </c>
      <c r="B45" s="7" t="s">
        <v>15</v>
      </c>
      <c r="C45" s="7" t="s">
        <v>28</v>
      </c>
      <c r="D45" s="7">
        <f>water!D31</f>
        <v>0</v>
      </c>
      <c r="E45" s="7">
        <f>glucose!D31</f>
        <v>0</v>
      </c>
      <c r="F45" s="7">
        <f>sucrose!D31</f>
        <v>0</v>
      </c>
      <c r="G45" s="7">
        <f>'milk choc'!D31</f>
        <v>0</v>
      </c>
      <c r="H45" s="13">
        <f>'milk chocolate arabinose'!D31</f>
        <v>0</v>
      </c>
      <c r="I45" s="7">
        <f>'gastic milk choc'!D31</f>
        <v>0</v>
      </c>
      <c r="J45" s="7">
        <f>'gastic milk choc arab'!D31</f>
        <v>0</v>
      </c>
      <c r="K45" s="7">
        <f>emulsie!D31</f>
        <v>0</v>
      </c>
      <c r="L45" s="7">
        <f>arabinose!D31</f>
        <v>0</v>
      </c>
      <c r="M45" s="7">
        <v>99</v>
      </c>
      <c r="N45" s="7">
        <v>0</v>
      </c>
      <c r="O45" s="7">
        <v>0</v>
      </c>
      <c r="P45">
        <v>75</v>
      </c>
      <c r="Q45">
        <v>0</v>
      </c>
      <c r="R45" s="7">
        <v>50</v>
      </c>
      <c r="S45">
        <v>50</v>
      </c>
      <c r="T45">
        <v>50</v>
      </c>
      <c r="U45">
        <v>50</v>
      </c>
      <c r="V45">
        <v>50</v>
      </c>
      <c r="W45">
        <v>50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</row>
    <row r="46" spans="1:33" x14ac:dyDescent="0.3">
      <c r="A46" s="7">
        <v>11</v>
      </c>
      <c r="B46" s="7" t="s">
        <v>16</v>
      </c>
      <c r="C46" s="7" t="s">
        <v>28</v>
      </c>
      <c r="D46" s="7">
        <f>water!D32</f>
        <v>0</v>
      </c>
      <c r="E46" s="7">
        <f>glucose!D32</f>
        <v>0</v>
      </c>
      <c r="F46" s="7">
        <f>sucrose!D32</f>
        <v>0</v>
      </c>
      <c r="G46" s="7">
        <f>'milk choc'!D32</f>
        <v>0</v>
      </c>
      <c r="H46" s="13">
        <f>'milk chocolate arabinose'!D32</f>
        <v>0</v>
      </c>
      <c r="I46" s="7">
        <f>'gastic milk choc'!D32</f>
        <v>0</v>
      </c>
      <c r="J46" s="7">
        <f>'gastic milk choc arab'!D32</f>
        <v>0</v>
      </c>
      <c r="K46" s="7">
        <f>emulsie!D32</f>
        <v>0</v>
      </c>
      <c r="L46" s="7">
        <f>arabinose!D32</f>
        <v>0</v>
      </c>
      <c r="M46" s="7">
        <v>0</v>
      </c>
      <c r="N46" s="7">
        <v>99</v>
      </c>
      <c r="O46" s="7">
        <v>0</v>
      </c>
      <c r="P46">
        <v>0</v>
      </c>
      <c r="Q46">
        <v>75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</row>
    <row r="47" spans="1:33" x14ac:dyDescent="0.3">
      <c r="A47" s="7">
        <v>12</v>
      </c>
      <c r="B47" s="7" t="s">
        <v>17</v>
      </c>
      <c r="C47" s="7" t="s">
        <v>28</v>
      </c>
      <c r="D47" s="7">
        <f>water!D33</f>
        <v>0</v>
      </c>
      <c r="E47" s="7">
        <f>glucose!D33</f>
        <v>0</v>
      </c>
      <c r="F47" s="7">
        <f>sucrose!D33</f>
        <v>0</v>
      </c>
      <c r="G47" s="7">
        <f>'milk choc'!D33</f>
        <v>6</v>
      </c>
      <c r="H47" s="13">
        <f>'milk chocolate arabinose'!D33</f>
        <v>6</v>
      </c>
      <c r="I47" s="7">
        <f>'gastic milk choc'!D33</f>
        <v>1.78</v>
      </c>
      <c r="J47" s="7">
        <f>'gastic milk choc arab'!D33</f>
        <v>1.78</v>
      </c>
      <c r="K47" s="7">
        <f>emulsie!D33</f>
        <v>0</v>
      </c>
      <c r="L47" s="7">
        <f>arabinose!D33</f>
        <v>0</v>
      </c>
      <c r="M47" s="7">
        <v>0</v>
      </c>
      <c r="N47" s="7">
        <v>0</v>
      </c>
      <c r="O47" s="7">
        <v>99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</row>
    <row r="48" spans="1:33" x14ac:dyDescent="0.3">
      <c r="A48" s="7">
        <v>20</v>
      </c>
      <c r="B48" s="7" t="s">
        <v>3</v>
      </c>
      <c r="C48" s="7" t="s">
        <v>28</v>
      </c>
      <c r="D48" s="7">
        <f>water!D34</f>
        <v>0</v>
      </c>
      <c r="E48" s="7">
        <f>glucose!D34</f>
        <v>0</v>
      </c>
      <c r="F48" s="7">
        <f>sucrose!D34</f>
        <v>0</v>
      </c>
      <c r="G48" s="7">
        <f>'milk choc'!D34</f>
        <v>0</v>
      </c>
      <c r="H48" s="13">
        <f>'milk chocolate arabinose'!D34</f>
        <v>0</v>
      </c>
      <c r="I48" s="7">
        <f>'gastic milk choc'!D34</f>
        <v>0</v>
      </c>
      <c r="J48" s="7">
        <f>'gastic milk choc arab'!D34</f>
        <v>0</v>
      </c>
      <c r="K48" s="7">
        <f>emulsie!D34</f>
        <v>0</v>
      </c>
      <c r="L48" s="7">
        <f>arabinose!D34</f>
        <v>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</row>
    <row r="49" spans="1:33" x14ac:dyDescent="0.3">
      <c r="A49" s="7">
        <v>21</v>
      </c>
      <c r="B49" s="7" t="s">
        <v>4</v>
      </c>
      <c r="C49" s="7" t="s">
        <v>28</v>
      </c>
      <c r="D49" s="7">
        <f>water!D35</f>
        <v>0</v>
      </c>
      <c r="E49" s="7">
        <f>glucose!D35</f>
        <v>0</v>
      </c>
      <c r="F49" s="7">
        <v>98</v>
      </c>
      <c r="G49" s="7">
        <v>40.5</v>
      </c>
      <c r="H49" s="13">
        <v>28.7</v>
      </c>
      <c r="I49" s="7">
        <v>19</v>
      </c>
      <c r="J49" s="7">
        <v>14</v>
      </c>
      <c r="K49" s="7">
        <f>emulsie!D35</f>
        <v>0</v>
      </c>
      <c r="L49" s="7">
        <f>arabinose!D35</f>
        <v>0</v>
      </c>
      <c r="M49" s="7">
        <v>0</v>
      </c>
      <c r="N49" s="7">
        <v>0</v>
      </c>
      <c r="O49" s="7">
        <v>0</v>
      </c>
      <c r="P49">
        <v>9</v>
      </c>
      <c r="Q49">
        <v>9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</row>
    <row r="50" spans="1:33" x14ac:dyDescent="0.3">
      <c r="A50" s="7">
        <v>22</v>
      </c>
      <c r="B50" s="7" t="s">
        <v>37</v>
      </c>
      <c r="C50" s="7" t="s">
        <v>28</v>
      </c>
      <c r="D50" s="7">
        <f>water!D36</f>
        <v>0</v>
      </c>
      <c r="E50" s="7">
        <f>glucose!D36</f>
        <v>0</v>
      </c>
      <c r="F50" s="7">
        <f>sucrose!D36</f>
        <v>0</v>
      </c>
      <c r="G50" s="7">
        <f>'milk choc'!D36</f>
        <v>0</v>
      </c>
      <c r="H50" s="13">
        <f>'milk chocolate arabinose'!D36</f>
        <v>0</v>
      </c>
      <c r="I50" s="7">
        <f>'gastic milk choc'!D36</f>
        <v>0</v>
      </c>
      <c r="J50" s="7">
        <f>'gastic milk choc arab'!D36</f>
        <v>0</v>
      </c>
      <c r="K50" s="7">
        <f>emulsie!D36</f>
        <v>0</v>
      </c>
      <c r="L50" s="7">
        <f>arabinose!D36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</row>
    <row r="51" spans="1:33" x14ac:dyDescent="0.3">
      <c r="A51" s="7">
        <v>23</v>
      </c>
      <c r="B51" s="7" t="s">
        <v>18</v>
      </c>
      <c r="C51" s="7" t="s">
        <v>28</v>
      </c>
      <c r="D51" s="7">
        <f>water!D37</f>
        <v>0</v>
      </c>
      <c r="E51" s="7">
        <f>glucose!D37</f>
        <v>0</v>
      </c>
      <c r="F51" s="7">
        <f>sucrose!D37</f>
        <v>0</v>
      </c>
      <c r="G51" s="7">
        <f>'milk choc'!D37</f>
        <v>0</v>
      </c>
      <c r="H51" s="13">
        <f>'milk chocolate arabinose'!D37</f>
        <v>0</v>
      </c>
      <c r="I51" s="7">
        <f>'gastic milk choc'!D37</f>
        <v>0</v>
      </c>
      <c r="J51" s="7">
        <f>'gastic milk choc arab'!D37</f>
        <v>0</v>
      </c>
      <c r="K51" s="7">
        <f>emulsie!D37</f>
        <v>0</v>
      </c>
      <c r="L51" s="7">
        <f>arabinose!D37</f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</row>
    <row r="52" spans="1:33" x14ac:dyDescent="0.3">
      <c r="A52" s="7">
        <v>24</v>
      </c>
      <c r="B52" s="7" t="s">
        <v>100</v>
      </c>
      <c r="C52" s="7" t="s">
        <v>28</v>
      </c>
      <c r="D52" s="7">
        <v>0</v>
      </c>
      <c r="E52" s="7">
        <v>0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</row>
    <row r="53" spans="1:33" x14ac:dyDescent="0.3">
      <c r="A53" s="7">
        <v>25</v>
      </c>
      <c r="B53" s="7" t="s">
        <v>38</v>
      </c>
      <c r="C53" s="7" t="s">
        <v>28</v>
      </c>
      <c r="D53" s="7">
        <f>water!D38</f>
        <v>0</v>
      </c>
      <c r="E53" s="7">
        <f>glucose!D38</f>
        <v>0</v>
      </c>
      <c r="F53" s="7">
        <f>sucrose!D38</f>
        <v>0</v>
      </c>
      <c r="G53" s="7">
        <f>'milk choc'!D38</f>
        <v>0</v>
      </c>
      <c r="H53" s="13">
        <f>'milk chocolate arabinose'!D38</f>
        <v>11.9</v>
      </c>
      <c r="I53" s="7">
        <f>'gastic milk choc'!D38</f>
        <v>0</v>
      </c>
      <c r="J53" s="7">
        <f>'gastic milk choc arab'!D38</f>
        <v>5</v>
      </c>
      <c r="K53" s="7">
        <f>emulsie!D38</f>
        <v>0</v>
      </c>
      <c r="L53" s="7">
        <f>arabinose!D38</f>
        <v>100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</row>
    <row r="54" spans="1:33" x14ac:dyDescent="0.3">
      <c r="A54" s="7">
        <v>26</v>
      </c>
      <c r="B54" s="7" t="s">
        <v>19</v>
      </c>
      <c r="C54" s="7" t="s">
        <v>28</v>
      </c>
      <c r="D54" s="7">
        <f>water!D39</f>
        <v>0</v>
      </c>
      <c r="E54" s="7">
        <f>glucose!D39</f>
        <v>0</v>
      </c>
      <c r="F54" s="7">
        <f>sucrose!D39</f>
        <v>0</v>
      </c>
      <c r="G54" s="7">
        <f>'milk choc'!D39</f>
        <v>0</v>
      </c>
      <c r="H54" s="13">
        <f>'milk chocolate arabinose'!D39</f>
        <v>0</v>
      </c>
      <c r="I54" s="7">
        <f>'gastic milk choc'!D39</f>
        <v>0</v>
      </c>
      <c r="J54" s="7">
        <f>'gastic milk choc arab'!D39</f>
        <v>0</v>
      </c>
      <c r="K54" s="7">
        <f>emulsie!D39</f>
        <v>0</v>
      </c>
      <c r="L54" s="7">
        <f>arabinose!D39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</row>
    <row r="55" spans="1:33" x14ac:dyDescent="0.3">
      <c r="A55" s="7">
        <v>27</v>
      </c>
      <c r="B55" s="7" t="s">
        <v>39</v>
      </c>
      <c r="C55" s="7" t="s">
        <v>28</v>
      </c>
      <c r="D55" s="7">
        <f>water!D40</f>
        <v>0</v>
      </c>
      <c r="E55" s="7">
        <f>glucose!D40</f>
        <v>0</v>
      </c>
      <c r="F55" s="7">
        <f>sucrose!D40</f>
        <v>0</v>
      </c>
      <c r="G55" s="7">
        <f>'milk choc'!D40</f>
        <v>0</v>
      </c>
      <c r="H55" s="13">
        <f>'milk chocolate arabinose'!D40</f>
        <v>0</v>
      </c>
      <c r="I55" s="7">
        <f>'gastic milk choc'!D40</f>
        <v>0</v>
      </c>
      <c r="J55" s="7">
        <f>'gastic milk choc arab'!D40</f>
        <v>0</v>
      </c>
      <c r="K55" s="7">
        <f>emulsie!D40</f>
        <v>0</v>
      </c>
      <c r="L55" s="7">
        <f>arabinose!D40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</row>
    <row r="56" spans="1:33" x14ac:dyDescent="0.3">
      <c r="A56" s="7">
        <v>34</v>
      </c>
      <c r="B56" s="7" t="s">
        <v>101</v>
      </c>
      <c r="C56" s="7" t="s">
        <v>28</v>
      </c>
      <c r="D56" s="7">
        <v>0</v>
      </c>
      <c r="E56" s="7">
        <v>1</v>
      </c>
      <c r="F56" s="7">
        <v>0</v>
      </c>
      <c r="G56" s="7">
        <v>0</v>
      </c>
      <c r="H56" s="13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</row>
    <row r="57" spans="1:33" x14ac:dyDescent="0.3">
      <c r="A57" s="7">
        <v>35</v>
      </c>
      <c r="B57" s="7" t="s">
        <v>102</v>
      </c>
      <c r="C57" s="7" t="s">
        <v>28</v>
      </c>
      <c r="D57" s="7">
        <v>0</v>
      </c>
      <c r="E57" s="7">
        <v>0</v>
      </c>
      <c r="F57" s="7">
        <v>0</v>
      </c>
      <c r="G57" s="7">
        <v>0</v>
      </c>
      <c r="H57" s="13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</row>
    <row r="58" spans="1:33" x14ac:dyDescent="0.3">
      <c r="A58" s="7">
        <v>36</v>
      </c>
      <c r="B58" s="7" t="s">
        <v>103</v>
      </c>
      <c r="C58" s="7" t="s">
        <v>28</v>
      </c>
      <c r="D58" s="7">
        <v>0</v>
      </c>
      <c r="E58" s="7">
        <v>0</v>
      </c>
      <c r="F58" s="7">
        <v>2</v>
      </c>
      <c r="G58" s="7">
        <v>1</v>
      </c>
      <c r="H58" s="13">
        <v>1</v>
      </c>
      <c r="I58" s="7">
        <v>1</v>
      </c>
      <c r="J58" s="7">
        <v>1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</row>
    <row r="59" spans="1:33" x14ac:dyDescent="0.3">
      <c r="A59" s="7">
        <v>40</v>
      </c>
      <c r="B59" s="7" t="s">
        <v>52</v>
      </c>
      <c r="C59" s="7" t="s">
        <v>28</v>
      </c>
      <c r="D59" s="7">
        <f>water!D41</f>
        <v>0</v>
      </c>
      <c r="E59" s="7">
        <f>glucose!D41</f>
        <v>0</v>
      </c>
      <c r="F59" s="7">
        <f>sucrose!D41</f>
        <v>0</v>
      </c>
      <c r="G59" s="7">
        <f>'milk choc'!D41</f>
        <v>0</v>
      </c>
      <c r="H59" s="13">
        <f>'milk chocolate arabinose'!D41</f>
        <v>0</v>
      </c>
      <c r="I59" s="7">
        <f>'gastic milk choc'!D41</f>
        <v>0</v>
      </c>
      <c r="J59" s="7">
        <f>'gastic milk choc arab'!D41</f>
        <v>0</v>
      </c>
      <c r="K59" s="7">
        <f>emulsie!D41</f>
        <v>0</v>
      </c>
      <c r="L59" s="7">
        <f>arabinose!D41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</row>
    <row r="60" spans="1:33" x14ac:dyDescent="0.3">
      <c r="A60" s="7">
        <v>41</v>
      </c>
      <c r="B60" s="7" t="s">
        <v>53</v>
      </c>
      <c r="C60" s="7" t="s">
        <v>28</v>
      </c>
      <c r="D60" s="7">
        <f>water!D42</f>
        <v>0</v>
      </c>
      <c r="E60" s="7">
        <f>glucose!D42</f>
        <v>0</v>
      </c>
      <c r="F60" s="7">
        <f>sucrose!D42</f>
        <v>0</v>
      </c>
      <c r="G60" s="7">
        <f>'milk choc'!D42</f>
        <v>0</v>
      </c>
      <c r="H60" s="13">
        <f>'milk chocolate arabinose'!D42</f>
        <v>0</v>
      </c>
      <c r="I60" s="7">
        <f>'gastic milk choc'!D42</f>
        <v>0</v>
      </c>
      <c r="J60" s="7">
        <f>'gastic milk choc arab'!D42</f>
        <v>0</v>
      </c>
      <c r="K60" s="7">
        <f>emulsie!D42</f>
        <v>0</v>
      </c>
      <c r="L60" s="7">
        <f>arabinose!D42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</row>
    <row r="61" spans="1:33" x14ac:dyDescent="0.3">
      <c r="A61" s="7">
        <v>50</v>
      </c>
      <c r="B61" s="7" t="s">
        <v>54</v>
      </c>
      <c r="C61" s="7" t="s">
        <v>28</v>
      </c>
      <c r="D61" s="7">
        <f>water!D43</f>
        <v>0</v>
      </c>
      <c r="E61" s="7">
        <f>glucose!D43</f>
        <v>0</v>
      </c>
      <c r="F61" s="7">
        <f>sucrose!D43</f>
        <v>0</v>
      </c>
      <c r="G61" s="7">
        <f>'milk choc'!D43</f>
        <v>0</v>
      </c>
      <c r="H61" s="13">
        <f>'milk chocolate arabinose'!D43</f>
        <v>0</v>
      </c>
      <c r="I61" s="7">
        <f>'gastic milk choc'!D43</f>
        <v>0</v>
      </c>
      <c r="J61" s="7">
        <f>'gastic milk choc arab'!D43</f>
        <v>0</v>
      </c>
      <c r="K61" s="7">
        <f>emulsie!D43</f>
        <v>0</v>
      </c>
      <c r="L61" s="7">
        <f>arabinose!D43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</row>
    <row r="62" spans="1:33" x14ac:dyDescent="0.3">
      <c r="A62" s="7">
        <v>51</v>
      </c>
      <c r="B62" s="7" t="s">
        <v>55</v>
      </c>
      <c r="C62" s="7" t="s">
        <v>28</v>
      </c>
      <c r="D62" s="7">
        <f>water!D44</f>
        <v>0</v>
      </c>
      <c r="E62" s="7">
        <f>glucose!D44</f>
        <v>0</v>
      </c>
      <c r="F62" s="7">
        <f>sucrose!D44</f>
        <v>0</v>
      </c>
      <c r="G62" s="7">
        <f>'milk choc'!D44</f>
        <v>0</v>
      </c>
      <c r="H62" s="13">
        <f>'milk chocolate arabinose'!D44</f>
        <v>0</v>
      </c>
      <c r="I62" s="7">
        <f>'gastic milk choc'!D44</f>
        <v>0</v>
      </c>
      <c r="J62" s="7">
        <f>'gastic milk choc arab'!D44</f>
        <v>0</v>
      </c>
      <c r="K62" s="7">
        <f>emulsie!D44</f>
        <v>0</v>
      </c>
      <c r="L62" s="7">
        <f>arabinose!D44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</row>
    <row r="63" spans="1:33" x14ac:dyDescent="0.3">
      <c r="A63" s="7">
        <v>52</v>
      </c>
      <c r="B63" s="7" t="s">
        <v>56</v>
      </c>
      <c r="C63" s="7" t="s">
        <v>28</v>
      </c>
      <c r="D63" s="7">
        <f>water!D45</f>
        <v>0</v>
      </c>
      <c r="E63" s="7">
        <f>glucose!D45</f>
        <v>0</v>
      </c>
      <c r="F63" s="7">
        <f>sucrose!D45</f>
        <v>0</v>
      </c>
      <c r="G63" s="7">
        <f>'milk choc'!D45</f>
        <v>0</v>
      </c>
      <c r="H63" s="13">
        <f>'milk chocolate arabinose'!D45</f>
        <v>0</v>
      </c>
      <c r="I63" s="7">
        <f>'gastic milk choc'!D45</f>
        <v>0</v>
      </c>
      <c r="J63" s="7">
        <f>'gastic milk choc arab'!D45</f>
        <v>0</v>
      </c>
      <c r="K63" s="7">
        <f>emulsie!D45</f>
        <v>0</v>
      </c>
      <c r="L63" s="7">
        <f>arabinose!D45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</row>
    <row r="64" spans="1:33" x14ac:dyDescent="0.3">
      <c r="A64" s="7">
        <v>53</v>
      </c>
      <c r="B64" s="7" t="s">
        <v>57</v>
      </c>
      <c r="C64" s="7" t="s">
        <v>28</v>
      </c>
      <c r="D64" s="7">
        <f>water!D46</f>
        <v>0</v>
      </c>
      <c r="E64" s="7">
        <f>glucose!D46</f>
        <v>0</v>
      </c>
      <c r="F64" s="7">
        <f>sucrose!D46</f>
        <v>0</v>
      </c>
      <c r="G64" s="7">
        <f>'milk choc'!D46</f>
        <v>0</v>
      </c>
      <c r="H64" s="13">
        <f>'milk chocolate arabinose'!D46</f>
        <v>0</v>
      </c>
      <c r="I64" s="7">
        <f>'gastic milk choc'!D46</f>
        <v>0</v>
      </c>
      <c r="J64" s="7">
        <f>'gastic milk choc arab'!D46</f>
        <v>0</v>
      </c>
      <c r="K64" s="7">
        <f>emulsie!D46</f>
        <v>0</v>
      </c>
      <c r="L64" s="7">
        <f>arabinose!D46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</row>
    <row r="65" spans="1:33" x14ac:dyDescent="0.3">
      <c r="A65" s="7">
        <v>54</v>
      </c>
      <c r="B65" s="7" t="s">
        <v>58</v>
      </c>
      <c r="C65" s="7" t="s">
        <v>28</v>
      </c>
      <c r="D65" s="7">
        <f>water!D47</f>
        <v>0</v>
      </c>
      <c r="E65" s="7">
        <f>glucose!D47</f>
        <v>0</v>
      </c>
      <c r="F65" s="7">
        <f>sucrose!D47</f>
        <v>0</v>
      </c>
      <c r="G65" s="7">
        <f>'milk choc'!D47</f>
        <v>0</v>
      </c>
      <c r="H65" s="13">
        <f>'milk chocolate arabinose'!D47</f>
        <v>0</v>
      </c>
      <c r="I65" s="7">
        <f>'gastic milk choc'!D47</f>
        <v>0</v>
      </c>
      <c r="J65" s="7">
        <f>'gastic milk choc arab'!D47</f>
        <v>0</v>
      </c>
      <c r="K65" s="7">
        <f>emulsie!D47</f>
        <v>0</v>
      </c>
      <c r="L65" s="7">
        <f>arabinose!D47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</row>
    <row r="66" spans="1:33" x14ac:dyDescent="0.3">
      <c r="A66" s="7">
        <v>55</v>
      </c>
      <c r="B66" s="7" t="s">
        <v>62</v>
      </c>
      <c r="C66" s="7" t="s">
        <v>28</v>
      </c>
      <c r="D66" s="7">
        <f>water!D48</f>
        <v>0</v>
      </c>
      <c r="E66" s="7">
        <f>glucose!D48</f>
        <v>0</v>
      </c>
      <c r="F66" s="7">
        <f>sucrose!D48</f>
        <v>0</v>
      </c>
      <c r="G66" s="7">
        <f>'milk choc'!D48</f>
        <v>0</v>
      </c>
      <c r="H66" s="13">
        <f>'milk chocolate arabinose'!D48</f>
        <v>0</v>
      </c>
      <c r="I66" s="7">
        <f>'gastic milk choc'!D48</f>
        <v>0</v>
      </c>
      <c r="J66" s="7">
        <f>'gastic milk choc arab'!D48</f>
        <v>0</v>
      </c>
      <c r="K66" s="7">
        <f>emulsie!D48</f>
        <v>0</v>
      </c>
      <c r="L66" s="7">
        <f>arabinose!D48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</row>
    <row r="67" spans="1:33" x14ac:dyDescent="0.3">
      <c r="A67" s="7">
        <v>56</v>
      </c>
      <c r="B67" s="7" t="s">
        <v>63</v>
      </c>
      <c r="C67" s="7" t="s">
        <v>28</v>
      </c>
      <c r="D67" s="7">
        <f>water!D49</f>
        <v>0</v>
      </c>
      <c r="E67" s="7">
        <f>glucose!D49</f>
        <v>0</v>
      </c>
      <c r="F67" s="7">
        <f>sucrose!D49</f>
        <v>0</v>
      </c>
      <c r="G67" s="7">
        <f>'milk choc'!D49</f>
        <v>0</v>
      </c>
      <c r="H67" s="13">
        <f>'milk chocolate arabinose'!D49</f>
        <v>0</v>
      </c>
      <c r="I67" s="7">
        <f>'gastic milk choc'!D49</f>
        <v>0</v>
      </c>
      <c r="J67" s="7">
        <f>'gastic milk choc arab'!D49</f>
        <v>0</v>
      </c>
      <c r="K67" s="7">
        <f>emulsie!D49</f>
        <v>0</v>
      </c>
      <c r="L67" s="7">
        <f>arabinose!D49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</row>
    <row r="68" spans="1:33" x14ac:dyDescent="0.3">
      <c r="A68" s="7">
        <v>57</v>
      </c>
      <c r="B68" s="7" t="s">
        <v>59</v>
      </c>
      <c r="C68" s="7" t="s">
        <v>28</v>
      </c>
      <c r="D68" s="7">
        <f>water!D50</f>
        <v>0</v>
      </c>
      <c r="E68" s="7">
        <f>glucose!D50</f>
        <v>0</v>
      </c>
      <c r="F68" s="7">
        <f>sucrose!D50</f>
        <v>0</v>
      </c>
      <c r="G68" s="7">
        <f>'milk choc'!D50</f>
        <v>0</v>
      </c>
      <c r="H68" s="13">
        <f>'milk chocolate arabinose'!D50</f>
        <v>0</v>
      </c>
      <c r="I68" s="7">
        <f>'gastic milk choc'!D50</f>
        <v>0</v>
      </c>
      <c r="J68" s="7">
        <f>'gastic milk choc arab'!D50</f>
        <v>0</v>
      </c>
      <c r="K68" s="7">
        <f>emulsie!D50</f>
        <v>0</v>
      </c>
      <c r="L68" s="7">
        <f>arabinose!D50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</row>
    <row r="69" spans="1:33" x14ac:dyDescent="0.3">
      <c r="A69" s="7">
        <v>58</v>
      </c>
      <c r="B69" s="7" t="s">
        <v>60</v>
      </c>
      <c r="C69" s="7" t="s">
        <v>28</v>
      </c>
      <c r="D69" s="7">
        <f>water!D51</f>
        <v>0</v>
      </c>
      <c r="E69" s="7">
        <f>glucose!D51</f>
        <v>0</v>
      </c>
      <c r="F69" s="7">
        <f>sucrose!D51</f>
        <v>0</v>
      </c>
      <c r="G69" s="7">
        <f>'milk choc'!D51</f>
        <v>0</v>
      </c>
      <c r="H69" s="13">
        <f>'milk chocolate arabinose'!D51</f>
        <v>0</v>
      </c>
      <c r="I69" s="7">
        <f>'gastic milk choc'!D51</f>
        <v>0</v>
      </c>
      <c r="J69" s="7">
        <f>'gastic milk choc arab'!D51</f>
        <v>0</v>
      </c>
      <c r="K69" s="7">
        <f>emulsie!D51</f>
        <v>0</v>
      </c>
      <c r="L69" s="7">
        <f>arabinose!D51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</row>
    <row r="70" spans="1:33" x14ac:dyDescent="0.3">
      <c r="A70" s="7">
        <v>60</v>
      </c>
      <c r="B70" s="7" t="s">
        <v>61</v>
      </c>
      <c r="C70" s="7" t="s">
        <v>28</v>
      </c>
      <c r="D70" s="7">
        <f>water!D52</f>
        <v>0</v>
      </c>
      <c r="E70" s="7">
        <f>glucose!D52</f>
        <v>0</v>
      </c>
      <c r="F70" s="7">
        <f>sucrose!D52</f>
        <v>0</v>
      </c>
      <c r="G70" s="7">
        <f>'milk choc'!D52</f>
        <v>0</v>
      </c>
      <c r="H70" s="13">
        <f>'milk chocolate arabinose'!D52</f>
        <v>0</v>
      </c>
      <c r="I70" s="7">
        <f>'gastic milk choc'!D52</f>
        <v>0</v>
      </c>
      <c r="J70" s="7">
        <f>'gastic milk choc arab'!D52</f>
        <v>0</v>
      </c>
      <c r="K70" s="7">
        <f>emulsie!D52</f>
        <v>0</v>
      </c>
      <c r="L70" s="7">
        <f>arabinose!D52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</row>
    <row r="71" spans="1:33" x14ac:dyDescent="0.3">
      <c r="A71" s="7">
        <v>61</v>
      </c>
      <c r="B71" s="7" t="s">
        <v>40</v>
      </c>
      <c r="C71" s="7" t="s">
        <v>28</v>
      </c>
      <c r="D71" s="7">
        <f>water!D53</f>
        <v>0</v>
      </c>
      <c r="E71" s="7">
        <f>glucose!D53</f>
        <v>0</v>
      </c>
      <c r="F71" s="7">
        <f>sucrose!D53</f>
        <v>0</v>
      </c>
      <c r="G71" s="7">
        <f>'milk choc'!D53</f>
        <v>9</v>
      </c>
      <c r="H71" s="13">
        <f>'milk chocolate arabinose'!D53</f>
        <v>9</v>
      </c>
      <c r="I71" s="7">
        <f>'gastic milk choc'!D53</f>
        <v>2.31</v>
      </c>
      <c r="J71" s="7">
        <f>'gastic milk choc arab'!D53</f>
        <v>2.31</v>
      </c>
      <c r="K71" s="7">
        <f>emulsie!D53</f>
        <v>0</v>
      </c>
      <c r="L71" s="7">
        <f>arabinose!D53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  <c r="AC71" s="1">
        <v>100</v>
      </c>
      <c r="AD71" s="1">
        <v>0</v>
      </c>
      <c r="AE71" s="1">
        <v>0</v>
      </c>
      <c r="AF71" s="1">
        <v>0</v>
      </c>
      <c r="AG71" s="1">
        <v>0</v>
      </c>
    </row>
    <row r="72" spans="1:33" x14ac:dyDescent="0.3">
      <c r="A72" s="7">
        <v>62</v>
      </c>
      <c r="B72" s="7" t="s">
        <v>46</v>
      </c>
      <c r="C72" s="7" t="s">
        <v>28</v>
      </c>
      <c r="D72" s="7">
        <f>water!D54</f>
        <v>0</v>
      </c>
      <c r="E72" s="7">
        <f>glucose!D54</f>
        <v>0</v>
      </c>
      <c r="F72" s="7">
        <f>sucrose!D54</f>
        <v>0</v>
      </c>
      <c r="G72" s="7">
        <f>'milk choc'!D54</f>
        <v>0</v>
      </c>
      <c r="H72" s="13">
        <f>'milk chocolate arabinose'!D54</f>
        <v>0</v>
      </c>
      <c r="I72" s="7">
        <f>'gastic milk choc'!D54</f>
        <v>0</v>
      </c>
      <c r="J72" s="7">
        <f>'gastic milk choc arab'!D54</f>
        <v>0</v>
      </c>
      <c r="K72" s="7">
        <f>emulsie!D54</f>
        <v>0</v>
      </c>
      <c r="L72" s="7">
        <f>arabinose!D54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</row>
    <row r="73" spans="1:33" x14ac:dyDescent="0.3">
      <c r="A73" s="7">
        <v>63</v>
      </c>
      <c r="B73" s="7" t="s">
        <v>47</v>
      </c>
      <c r="C73" s="7" t="s">
        <v>28</v>
      </c>
      <c r="D73" s="7">
        <f>water!D55</f>
        <v>0</v>
      </c>
      <c r="E73" s="7">
        <f>glucose!D55</f>
        <v>0</v>
      </c>
      <c r="F73" s="7">
        <f>sucrose!D55</f>
        <v>0</v>
      </c>
      <c r="G73" s="7">
        <f>'milk choc'!D55</f>
        <v>0</v>
      </c>
      <c r="H73" s="13">
        <f>'milk chocolate arabinose'!D55</f>
        <v>0</v>
      </c>
      <c r="I73" s="7">
        <f>'gastic milk choc'!D55</f>
        <v>0</v>
      </c>
      <c r="J73" s="7">
        <f>'gastic milk choc arab'!D55</f>
        <v>0</v>
      </c>
      <c r="K73" s="7">
        <f>emulsie!D55</f>
        <v>0</v>
      </c>
      <c r="L73" s="7">
        <f>arabinose!D55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</row>
    <row r="74" spans="1:33" x14ac:dyDescent="0.3">
      <c r="A74" s="7">
        <v>64</v>
      </c>
      <c r="B74" s="7" t="s">
        <v>41</v>
      </c>
      <c r="C74" s="7" t="s">
        <v>28</v>
      </c>
      <c r="D74" s="7">
        <f>water!D56</f>
        <v>0</v>
      </c>
      <c r="E74" s="7">
        <f>glucose!D56</f>
        <v>0</v>
      </c>
      <c r="F74" s="7">
        <f>sucrose!D56</f>
        <v>0</v>
      </c>
      <c r="G74" s="7">
        <f>'milk choc'!D56</f>
        <v>0</v>
      </c>
      <c r="H74" s="13">
        <f>'milk chocolate arabinose'!D56</f>
        <v>0</v>
      </c>
      <c r="I74" s="7">
        <f>'gastic milk choc'!D56</f>
        <v>0</v>
      </c>
      <c r="J74" s="7">
        <f>'gastic milk choc arab'!D56</f>
        <v>0</v>
      </c>
      <c r="K74" s="7">
        <f>emulsie!D56</f>
        <v>0</v>
      </c>
      <c r="L74" s="7">
        <f>arabinose!D56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</row>
    <row r="75" spans="1:33" x14ac:dyDescent="0.3">
      <c r="A75" s="7">
        <v>65</v>
      </c>
      <c r="B75" s="7" t="s">
        <v>48</v>
      </c>
      <c r="C75" s="7" t="s">
        <v>28</v>
      </c>
      <c r="D75" s="7">
        <f>water!D57</f>
        <v>0</v>
      </c>
      <c r="E75" s="7">
        <f>glucose!D57</f>
        <v>0</v>
      </c>
      <c r="F75" s="7">
        <f>sucrose!D57</f>
        <v>0</v>
      </c>
      <c r="G75" s="7">
        <f>'milk choc'!D57</f>
        <v>0</v>
      </c>
      <c r="H75" s="13">
        <f>'milk chocolate arabinose'!D57</f>
        <v>0</v>
      </c>
      <c r="I75" s="7">
        <f>'gastic milk choc'!D57</f>
        <v>0</v>
      </c>
      <c r="J75" s="7">
        <f>'gastic milk choc arab'!D57</f>
        <v>0</v>
      </c>
      <c r="K75" s="7">
        <f>emulsie!D57</f>
        <v>0</v>
      </c>
      <c r="L75" s="7">
        <f>arabinose!D57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</row>
    <row r="76" spans="1:33" x14ac:dyDescent="0.3">
      <c r="A76" s="7">
        <v>66</v>
      </c>
      <c r="B76" s="7" t="s">
        <v>5</v>
      </c>
      <c r="C76" s="7" t="s">
        <v>28</v>
      </c>
      <c r="D76" s="7">
        <f>water!D58</f>
        <v>0</v>
      </c>
      <c r="E76" s="7">
        <f>glucose!D58</f>
        <v>0</v>
      </c>
      <c r="F76" s="7">
        <f>sucrose!D58</f>
        <v>0</v>
      </c>
      <c r="G76" s="7">
        <f>'milk choc'!D58</f>
        <v>0</v>
      </c>
      <c r="H76" s="13">
        <f>'milk chocolate arabinose'!D58</f>
        <v>0</v>
      </c>
      <c r="I76" s="7">
        <f>'gastic milk choc'!D58</f>
        <v>0</v>
      </c>
      <c r="J76" s="7">
        <f>'gastic milk choc arab'!D58</f>
        <v>0</v>
      </c>
      <c r="K76" s="7">
        <f>emulsie!D58</f>
        <v>0</v>
      </c>
      <c r="L76" s="7">
        <f>arabinose!D58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</row>
    <row r="77" spans="1:33" x14ac:dyDescent="0.3">
      <c r="A77" s="7">
        <v>67</v>
      </c>
      <c r="B77" s="7" t="s">
        <v>6</v>
      </c>
      <c r="C77" s="7" t="s">
        <v>28</v>
      </c>
      <c r="D77" s="7">
        <f>water!D59</f>
        <v>0</v>
      </c>
      <c r="E77" s="7">
        <f>glucose!D59</f>
        <v>0</v>
      </c>
      <c r="F77" s="7">
        <f>sucrose!D59</f>
        <v>0</v>
      </c>
      <c r="G77" s="7">
        <f>'milk choc'!D59</f>
        <v>10</v>
      </c>
      <c r="H77" s="13">
        <f>'milk chocolate arabinose'!D59</f>
        <v>10</v>
      </c>
      <c r="I77" s="7">
        <f>'gastic milk choc'!D59</f>
        <v>8.59</v>
      </c>
      <c r="J77" s="7">
        <f>'gastic milk choc arab'!D59</f>
        <v>8.59</v>
      </c>
      <c r="K77" s="7">
        <f>emulsie!D59</f>
        <v>0</v>
      </c>
      <c r="L77" s="7">
        <f>arabinose!D59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100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</row>
    <row r="78" spans="1:33" x14ac:dyDescent="0.3">
      <c r="A78">
        <v>68</v>
      </c>
      <c r="B78" t="s">
        <v>118</v>
      </c>
      <c r="C78" t="s">
        <v>28</v>
      </c>
      <c r="D78" s="7">
        <v>0</v>
      </c>
      <c r="E78" s="7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100</v>
      </c>
    </row>
    <row r="79" spans="1:33" x14ac:dyDescent="0.3">
      <c r="A79" s="7">
        <v>70</v>
      </c>
      <c r="B79" s="7" t="s">
        <v>7</v>
      </c>
      <c r="C79" s="7" t="s">
        <v>28</v>
      </c>
      <c r="D79" s="7">
        <f>water!D60</f>
        <v>0</v>
      </c>
      <c r="E79" s="7">
        <f>glucose!D60</f>
        <v>0</v>
      </c>
      <c r="F79" s="7">
        <f>sucrose!D60</f>
        <v>0</v>
      </c>
      <c r="G79" s="7">
        <f>'milk choc'!D60</f>
        <v>0</v>
      </c>
      <c r="H79" s="13">
        <f>'milk chocolate arabinose'!D60</f>
        <v>0</v>
      </c>
      <c r="I79" s="7">
        <f>'gastic milk choc'!D60</f>
        <v>0</v>
      </c>
      <c r="J79" s="7">
        <f>'gastic milk choc arab'!D60</f>
        <v>0</v>
      </c>
      <c r="K79" s="7">
        <f>emulsie!D60</f>
        <v>0</v>
      </c>
      <c r="L79" s="7">
        <f>arabinose!D60</f>
        <v>0</v>
      </c>
      <c r="M79" s="7">
        <v>0</v>
      </c>
      <c r="N79" s="7">
        <v>0</v>
      </c>
      <c r="O79" s="7">
        <v>0</v>
      </c>
      <c r="P79">
        <v>0</v>
      </c>
      <c r="Q79">
        <v>0</v>
      </c>
      <c r="R79" s="7">
        <v>0</v>
      </c>
      <c r="S79">
        <v>0</v>
      </c>
      <c r="T79">
        <v>0</v>
      </c>
      <c r="U79">
        <v>0</v>
      </c>
      <c r="V79">
        <v>0</v>
      </c>
      <c r="W79">
        <v>0</v>
      </c>
      <c r="X79" s="7">
        <v>0</v>
      </c>
      <c r="Y79" s="7">
        <v>0</v>
      </c>
      <c r="Z79" s="7">
        <v>0</v>
      </c>
      <c r="AA79" s="7">
        <v>0</v>
      </c>
      <c r="AB79" s="8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</row>
    <row r="80" spans="1:33" x14ac:dyDescent="0.3">
      <c r="A80" s="7">
        <v>71</v>
      </c>
      <c r="B80" s="7" t="s">
        <v>25</v>
      </c>
      <c r="C80" s="7" t="s">
        <v>28</v>
      </c>
      <c r="D80" s="7">
        <f>water!D61</f>
        <v>0</v>
      </c>
      <c r="E80" s="7">
        <f>glucose!D61</f>
        <v>0</v>
      </c>
      <c r="F80" s="7">
        <f>sucrose!D61</f>
        <v>0</v>
      </c>
      <c r="G80" s="7">
        <f>'milk choc'!D61</f>
        <v>0</v>
      </c>
      <c r="H80" s="13">
        <f>'milk chocolate arabinose'!D61</f>
        <v>0</v>
      </c>
      <c r="I80" s="7">
        <f>'gastic milk choc'!D61</f>
        <v>0</v>
      </c>
      <c r="J80" s="7">
        <f>'gastic milk choc arab'!D61</f>
        <v>0</v>
      </c>
      <c r="K80" s="7">
        <f>emulsie!D61</f>
        <v>0</v>
      </c>
      <c r="L80" s="7">
        <f>arabinose!D61</f>
        <v>0</v>
      </c>
      <c r="M80" s="7">
        <v>0</v>
      </c>
      <c r="N80" s="7">
        <v>0</v>
      </c>
      <c r="O80" s="7">
        <v>0</v>
      </c>
      <c r="P80">
        <v>0</v>
      </c>
      <c r="Q80">
        <v>0</v>
      </c>
      <c r="R80" s="7">
        <v>0</v>
      </c>
      <c r="S80">
        <v>0</v>
      </c>
      <c r="T80">
        <v>0</v>
      </c>
      <c r="U80">
        <v>0</v>
      </c>
      <c r="V80">
        <v>0</v>
      </c>
      <c r="W80">
        <v>0</v>
      </c>
      <c r="X80" s="7">
        <v>0</v>
      </c>
      <c r="Y80" s="7">
        <v>0</v>
      </c>
      <c r="Z80" s="7">
        <v>0</v>
      </c>
      <c r="AA80" s="7">
        <v>0</v>
      </c>
      <c r="AB80" s="8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</row>
    <row r="81" spans="1:33" x14ac:dyDescent="0.3">
      <c r="A81">
        <v>72</v>
      </c>
      <c r="B81" s="7" t="s">
        <v>115</v>
      </c>
      <c r="C81" t="s">
        <v>28</v>
      </c>
      <c r="D81" s="7">
        <v>0</v>
      </c>
      <c r="E81" s="7">
        <v>0</v>
      </c>
      <c r="F81">
        <v>0</v>
      </c>
      <c r="G81">
        <v>0</v>
      </c>
      <c r="H81" s="20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7">
        <v>0</v>
      </c>
      <c r="X81">
        <v>0</v>
      </c>
      <c r="Y81">
        <v>0</v>
      </c>
      <c r="Z81">
        <v>0</v>
      </c>
      <c r="AA81">
        <v>0</v>
      </c>
      <c r="AB81" s="1">
        <v>0</v>
      </c>
      <c r="AC81" s="1">
        <v>0</v>
      </c>
      <c r="AD81" s="1">
        <v>100</v>
      </c>
      <c r="AE81" s="1">
        <v>0</v>
      </c>
      <c r="AF81" s="1">
        <v>0</v>
      </c>
      <c r="AG81" s="1">
        <v>0</v>
      </c>
    </row>
    <row r="82" spans="1:33" x14ac:dyDescent="0.3">
      <c r="A82">
        <v>73</v>
      </c>
      <c r="B82" s="7" t="s">
        <v>116</v>
      </c>
      <c r="C82" t="s">
        <v>28</v>
      </c>
      <c r="D82" s="7">
        <v>0</v>
      </c>
      <c r="E82" s="7">
        <v>0</v>
      </c>
      <c r="F82">
        <v>0</v>
      </c>
      <c r="G82">
        <v>0</v>
      </c>
      <c r="H82" s="20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s="1">
        <v>0</v>
      </c>
      <c r="AC82" s="1">
        <v>0</v>
      </c>
      <c r="AD82" s="1">
        <v>0</v>
      </c>
      <c r="AE82" s="1">
        <v>100</v>
      </c>
      <c r="AF82" s="1">
        <v>0</v>
      </c>
      <c r="AG82" s="1">
        <v>0</v>
      </c>
    </row>
    <row r="83" spans="1:33" x14ac:dyDescent="0.3">
      <c r="A83">
        <v>74</v>
      </c>
      <c r="B83" s="7" t="s">
        <v>117</v>
      </c>
      <c r="C83" t="s">
        <v>28</v>
      </c>
      <c r="D83" s="7">
        <v>0</v>
      </c>
      <c r="E83" s="7">
        <v>0</v>
      </c>
      <c r="F83">
        <v>0</v>
      </c>
      <c r="G83">
        <v>0</v>
      </c>
      <c r="H83" s="20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s="1">
        <v>0</v>
      </c>
      <c r="AC83" s="1">
        <v>0</v>
      </c>
      <c r="AD83" s="1">
        <v>0</v>
      </c>
      <c r="AE83" s="1">
        <v>0</v>
      </c>
      <c r="AF83" s="1">
        <v>100</v>
      </c>
      <c r="AG83" s="1">
        <v>0</v>
      </c>
    </row>
    <row r="84" spans="1:33" x14ac:dyDescent="0.3">
      <c r="A84" s="7">
        <v>78</v>
      </c>
      <c r="B84" s="7" t="s">
        <v>49</v>
      </c>
      <c r="C84" s="7" t="s">
        <v>28</v>
      </c>
      <c r="D84" s="7">
        <f>water!D62</f>
        <v>0</v>
      </c>
      <c r="E84" s="7">
        <f>glucose!D62</f>
        <v>0</v>
      </c>
      <c r="F84" s="7">
        <f>sucrose!D62</f>
        <v>0</v>
      </c>
      <c r="G84" s="7">
        <f>'milk choc'!D62</f>
        <v>0</v>
      </c>
      <c r="H84" s="13">
        <f>'milk chocolate arabinose'!D62</f>
        <v>0</v>
      </c>
      <c r="I84" s="7">
        <f>'gastic milk choc'!D62</f>
        <v>0</v>
      </c>
      <c r="J84" s="7">
        <f>'gastic milk choc arab'!D62</f>
        <v>0</v>
      </c>
      <c r="K84" s="7">
        <f>emulsie!D62</f>
        <v>0</v>
      </c>
      <c r="L84" s="7">
        <f>arabinose!D62</f>
        <v>0</v>
      </c>
      <c r="M84" s="7">
        <v>0</v>
      </c>
      <c r="N84" s="7">
        <v>0</v>
      </c>
      <c r="O84" s="7">
        <v>0</v>
      </c>
      <c r="P84">
        <v>0</v>
      </c>
      <c r="Q84">
        <v>0</v>
      </c>
      <c r="R84" s="7">
        <v>0</v>
      </c>
      <c r="S84">
        <v>0</v>
      </c>
      <c r="T84">
        <v>0</v>
      </c>
      <c r="U84">
        <v>0</v>
      </c>
      <c r="V84">
        <v>0</v>
      </c>
      <c r="W84">
        <v>0</v>
      </c>
      <c r="X84" s="7">
        <v>0</v>
      </c>
      <c r="Y84" s="7">
        <v>0</v>
      </c>
      <c r="Z84" s="7">
        <v>0</v>
      </c>
      <c r="AA84" s="7">
        <v>0</v>
      </c>
      <c r="AB84" s="8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</row>
    <row r="85" spans="1:33" x14ac:dyDescent="0.3">
      <c r="A85" s="7">
        <v>79</v>
      </c>
      <c r="B85" s="7" t="s">
        <v>50</v>
      </c>
      <c r="C85" s="7" t="s">
        <v>28</v>
      </c>
      <c r="D85" s="7">
        <f>water!D63</f>
        <v>0</v>
      </c>
      <c r="E85" s="7">
        <f>glucose!D63</f>
        <v>0</v>
      </c>
      <c r="F85" s="7">
        <f>sucrose!D63</f>
        <v>0</v>
      </c>
      <c r="G85" s="7">
        <f>'milk choc'!D63</f>
        <v>0</v>
      </c>
      <c r="H85" s="13">
        <f>'milk chocolate arabinose'!D63</f>
        <v>0</v>
      </c>
      <c r="I85" s="7">
        <f>'gastic milk choc'!D63</f>
        <v>0</v>
      </c>
      <c r="J85" s="7">
        <f>'gastic milk choc arab'!D63</f>
        <v>0</v>
      </c>
      <c r="K85" s="7">
        <f>emulsie!D63</f>
        <v>0</v>
      </c>
      <c r="L85" s="7">
        <f>arabinose!D63</f>
        <v>0</v>
      </c>
      <c r="M85" s="7">
        <v>0</v>
      </c>
      <c r="N85" s="7">
        <v>0</v>
      </c>
      <c r="O85" s="7">
        <v>0</v>
      </c>
      <c r="P85">
        <v>0</v>
      </c>
      <c r="Q85">
        <v>0</v>
      </c>
      <c r="R85" s="7">
        <v>0</v>
      </c>
      <c r="S85">
        <v>0</v>
      </c>
      <c r="T85">
        <v>0</v>
      </c>
      <c r="U85">
        <v>0</v>
      </c>
      <c r="V85">
        <v>0</v>
      </c>
      <c r="W85">
        <v>0</v>
      </c>
      <c r="X85" s="7">
        <v>0</v>
      </c>
      <c r="Y85" s="7">
        <v>0</v>
      </c>
      <c r="Z85" s="7">
        <v>0</v>
      </c>
      <c r="AA85" s="7">
        <v>0</v>
      </c>
      <c r="AB85" s="8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</row>
    <row r="86" spans="1:33" x14ac:dyDescent="0.3">
      <c r="A86" s="7">
        <v>80</v>
      </c>
      <c r="B86" s="7" t="s">
        <v>64</v>
      </c>
      <c r="C86" s="7" t="s">
        <v>51</v>
      </c>
      <c r="D86" s="7">
        <f>water!D64</f>
        <v>0</v>
      </c>
      <c r="E86" s="7">
        <f>glucose!D64</f>
        <v>0</v>
      </c>
      <c r="F86" s="7">
        <f>sucrose!D64</f>
        <v>0</v>
      </c>
      <c r="G86" s="7">
        <f>'milk choc'!D64</f>
        <v>0</v>
      </c>
      <c r="H86" s="13">
        <f>'milk chocolate arabinose'!D64</f>
        <v>0</v>
      </c>
      <c r="I86" s="7">
        <f>'gastic milk choc'!D64</f>
        <v>0</v>
      </c>
      <c r="J86" s="7">
        <f>'gastic milk choc arab'!D64</f>
        <v>0</v>
      </c>
      <c r="K86" s="7">
        <f>emulsie!D64</f>
        <v>0</v>
      </c>
      <c r="L86" s="7">
        <f>arabinose!D64</f>
        <v>0</v>
      </c>
      <c r="M86" s="7">
        <v>0</v>
      </c>
      <c r="N86" s="7">
        <v>0</v>
      </c>
      <c r="O86" s="7">
        <v>0</v>
      </c>
      <c r="P86">
        <v>0</v>
      </c>
      <c r="Q86">
        <v>0</v>
      </c>
      <c r="R86" s="7">
        <v>0</v>
      </c>
      <c r="S86">
        <v>0</v>
      </c>
      <c r="T86">
        <v>0</v>
      </c>
      <c r="U86">
        <v>0</v>
      </c>
      <c r="V86">
        <v>0</v>
      </c>
      <c r="W86">
        <v>0</v>
      </c>
      <c r="X86" s="7">
        <v>0</v>
      </c>
      <c r="Y86" s="7">
        <v>0</v>
      </c>
      <c r="Z86" s="7">
        <v>0</v>
      </c>
      <c r="AA86" s="7">
        <v>0</v>
      </c>
      <c r="AB86" s="8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</row>
    <row r="87" spans="1:33" x14ac:dyDescent="0.3">
      <c r="A87" s="7">
        <v>0</v>
      </c>
      <c r="D87" s="7">
        <f t="shared" ref="D87:L87" si="0">SUM(D39:D86)</f>
        <v>100</v>
      </c>
      <c r="E87" s="7">
        <f t="shared" si="0"/>
        <v>100</v>
      </c>
      <c r="F87" s="7">
        <f t="shared" si="0"/>
        <v>100</v>
      </c>
      <c r="G87" s="7">
        <f t="shared" si="0"/>
        <v>100.31</v>
      </c>
      <c r="H87" s="7">
        <f t="shared" si="0"/>
        <v>100.41</v>
      </c>
      <c r="I87" s="7">
        <f t="shared" si="0"/>
        <v>99.83</v>
      </c>
      <c r="J87" s="7">
        <f t="shared" si="0"/>
        <v>99.83</v>
      </c>
      <c r="K87" s="7">
        <f t="shared" si="0"/>
        <v>100</v>
      </c>
      <c r="L87" s="7">
        <f t="shared" si="0"/>
        <v>100</v>
      </c>
      <c r="M87" s="7">
        <f>SUM(M39:M86)</f>
        <v>99</v>
      </c>
      <c r="N87" s="7">
        <f t="shared" ref="N87:AB87" si="1">SUM(N39:N86)</f>
        <v>99</v>
      </c>
      <c r="O87" s="7">
        <f t="shared" si="1"/>
        <v>99</v>
      </c>
      <c r="P87">
        <f t="shared" si="1"/>
        <v>98</v>
      </c>
      <c r="Q87">
        <f t="shared" si="1"/>
        <v>98</v>
      </c>
      <c r="R87" s="7">
        <f t="shared" si="1"/>
        <v>132</v>
      </c>
      <c r="S87">
        <f t="shared" ref="S87" si="2">SUM(S39:S86)</f>
        <v>132</v>
      </c>
      <c r="T87">
        <v>132</v>
      </c>
      <c r="U87">
        <f t="shared" ref="U87:AA87" si="3">SUM(U39:U86)</f>
        <v>119</v>
      </c>
      <c r="V87">
        <f t="shared" ref="V87" si="4">SUM(V39:V86)</f>
        <v>119</v>
      </c>
      <c r="W87">
        <v>119</v>
      </c>
      <c r="X87" s="7">
        <f t="shared" si="3"/>
        <v>100</v>
      </c>
      <c r="Y87" s="7">
        <f t="shared" si="3"/>
        <v>100</v>
      </c>
      <c r="Z87" s="7">
        <f t="shared" si="3"/>
        <v>100</v>
      </c>
      <c r="AA87" s="7">
        <f t="shared" si="3"/>
        <v>100</v>
      </c>
      <c r="AB87" s="7">
        <f t="shared" si="1"/>
        <v>100</v>
      </c>
      <c r="AC87" s="7">
        <f>SUM(AC39:AC86)</f>
        <v>100</v>
      </c>
      <c r="AD87" s="7">
        <f>SUM(AD39:AD86)</f>
        <v>100</v>
      </c>
      <c r="AE87" s="7">
        <f>SUM(AE39:AE86)</f>
        <v>100</v>
      </c>
      <c r="AF87" s="7">
        <f>SUM(AF39:AF86)</f>
        <v>100</v>
      </c>
      <c r="AG87" s="7">
        <f t="shared" ref="AG87" si="5">SUM(AG39:AG86)</f>
        <v>100</v>
      </c>
    </row>
    <row r="88" spans="1:33" x14ac:dyDescent="0.3">
      <c r="B88" s="7" t="s">
        <v>88</v>
      </c>
      <c r="C88" s="7" t="s">
        <v>91</v>
      </c>
      <c r="D88" s="7">
        <f>water!D66</f>
        <v>1</v>
      </c>
      <c r="E88" s="7">
        <f>glucose!D66</f>
        <v>1.44</v>
      </c>
      <c r="F88" s="7">
        <f>sucrose!D66</f>
        <v>1.44</v>
      </c>
      <c r="G88" s="7">
        <f>'milk choc'!D66</f>
        <v>1.3</v>
      </c>
      <c r="H88" s="13">
        <f>'milk chocolate arabinose'!D66</f>
        <v>1.3</v>
      </c>
      <c r="I88" s="7">
        <f>'gastic milk choc'!D66</f>
        <v>1.2</v>
      </c>
      <c r="J88" s="7">
        <f>'gastic milk choc arab'!D66</f>
        <v>1.2</v>
      </c>
      <c r="K88" s="7">
        <f>emulsie!D66</f>
        <v>0.95</v>
      </c>
      <c r="L88" s="7">
        <f>arabinose!D66</f>
        <v>1.44</v>
      </c>
      <c r="M88" s="7">
        <v>1.44</v>
      </c>
      <c r="N88" s="7">
        <v>1.44</v>
      </c>
      <c r="O88" s="7">
        <v>1.44</v>
      </c>
      <c r="P88">
        <v>1.4</v>
      </c>
      <c r="Q88">
        <v>1.4</v>
      </c>
      <c r="R88" s="7">
        <v>1.4</v>
      </c>
      <c r="S88">
        <v>1.4</v>
      </c>
      <c r="T88">
        <v>1.4</v>
      </c>
      <c r="U88">
        <v>1.4</v>
      </c>
      <c r="V88">
        <v>1.4</v>
      </c>
      <c r="W88">
        <v>1.4</v>
      </c>
      <c r="X88" s="7">
        <v>1</v>
      </c>
      <c r="Y88" s="7">
        <v>1</v>
      </c>
      <c r="Z88" s="7">
        <v>1</v>
      </c>
      <c r="AA88" s="7">
        <v>1</v>
      </c>
      <c r="AB88" s="8">
        <v>1.4</v>
      </c>
      <c r="AC88" s="1">
        <v>1.4</v>
      </c>
      <c r="AD88" s="1">
        <v>1.4</v>
      </c>
      <c r="AE88" s="1">
        <v>1.4</v>
      </c>
      <c r="AF88" s="1">
        <v>1.4</v>
      </c>
      <c r="AG88" s="21">
        <v>1665</v>
      </c>
    </row>
    <row r="89" spans="1:33" x14ac:dyDescent="0.3">
      <c r="AC89" s="1"/>
      <c r="AD89" s="1"/>
      <c r="AE89" s="1"/>
      <c r="AF89" s="1"/>
    </row>
  </sheetData>
  <hyperlinks>
    <hyperlink ref="D17" location="water!A1" display="water" xr:uid="{00000000-0004-0000-0000-000000000000}"/>
    <hyperlink ref="E17" location="glucose!A1" display="glucose" xr:uid="{00000000-0004-0000-0000-000001000000}"/>
    <hyperlink ref="F17" location="sucrose!A1" display="sucrose" xr:uid="{00000000-0004-0000-0000-000002000000}"/>
    <hyperlink ref="G17" location="'milk choc'!A1" display="milk choc" xr:uid="{00000000-0004-0000-0000-000003000000}"/>
    <hyperlink ref="H17" location="'milk chocolate arabinose'!A1" display="milk choc arab" xr:uid="{00000000-0004-0000-0000-000004000000}"/>
    <hyperlink ref="I17" location="'gastic milk choc'!A1" display="'gastic milk choc'!A1" xr:uid="{00000000-0004-0000-0000-000005000000}"/>
    <hyperlink ref="J17" location="'gastic milk choc arab'!A1" display="'gastic milk choc arab'!A1" xr:uid="{00000000-0004-0000-0000-000006000000}"/>
    <hyperlink ref="K17" location="emulsie!A1" display="emulsie" xr:uid="{00000000-0004-0000-0000-000007000000}"/>
    <hyperlink ref="L17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2023-04-04T16:57:46Z</dcterms:modified>
</cp:coreProperties>
</file>