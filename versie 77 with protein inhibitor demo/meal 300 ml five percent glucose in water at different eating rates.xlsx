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24226"/>
  <xr:revisionPtr revIDLastSave="35" documentId="8_{F85A4E3E-8EDB-4FC3-B090-30FC5B4A4C13}" xr6:coauthVersionLast="47" xr6:coauthVersionMax="47" xr10:uidLastSave="{CEAADB2E-C378-4357-925E-7818B6D6B357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83" i="3" l="1"/>
  <c r="E7" i="3"/>
  <c r="E8" i="3" s="1"/>
  <c r="E9" i="3" s="1"/>
  <c r="E10" i="3" s="1"/>
  <c r="E11" i="3" s="1"/>
  <c r="E12" i="3" s="1"/>
  <c r="E13" i="3" s="1"/>
  <c r="R83" i="3"/>
  <c r="Q83" i="3" l="1"/>
  <c r="P83" i="3"/>
  <c r="O83" i="3"/>
  <c r="N83" i="3"/>
  <c r="M83" i="3"/>
  <c r="L58" i="3" l="1"/>
  <c r="K58" i="3"/>
  <c r="E58" i="3"/>
  <c r="D58" i="3"/>
  <c r="L57" i="3"/>
  <c r="K57" i="3"/>
  <c r="J57" i="3"/>
  <c r="I57" i="3"/>
  <c r="H57" i="3"/>
  <c r="G57" i="3"/>
  <c r="D57" i="3"/>
  <c r="L56" i="3"/>
  <c r="K56" i="3"/>
  <c r="J56" i="3"/>
  <c r="I56" i="3"/>
  <c r="H56" i="3"/>
  <c r="G56" i="3"/>
  <c r="D56" i="3"/>
  <c r="D59" i="3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4" i="3" l="1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3" i="3" l="1"/>
  <c r="K84" i="3"/>
  <c r="J84" i="3"/>
  <c r="I84" i="3"/>
  <c r="H84" i="3"/>
  <c r="G84" i="3"/>
  <c r="F84" i="3"/>
  <c r="E84" i="3"/>
  <c r="D84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3" i="3" l="1"/>
  <c r="D83" i="3"/>
  <c r="E83" i="3"/>
  <c r="G83" i="3"/>
  <c r="F83" i="3"/>
  <c r="H83" i="3"/>
  <c r="J83" i="3"/>
  <c r="K83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<sst xmlns="http://schemas.openxmlformats.org/spreadsheetml/2006/main" count="1095" uniqueCount="106">
  <si>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</si>
  <si>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</si>
  <si>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</si>
  <si>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</si>
  <si>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</si>
  <si>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</si>
  <si>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</si>
  <si>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</si>
  <si>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</si>
  <si>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</si>
  <si>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</si>
  <si>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</si>
  <si>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</si>
  <si>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</si>
  <si>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</si>
  <si>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</si>
  <si>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</si>
  <si>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</si>
  <si>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</si>
  <si>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</si>
  <si>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</si>
  <si>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</si>
  <si>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</si>
  <si>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</si>
  <si>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</si>
  <si>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</si>
  <si>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</si>
  <si>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</si>
  <si>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</si>
  <si>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</si>
  <si>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</si>
  <si>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</si>
  <si>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</si>
  <si>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</si>
  <si>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</si>
  <si>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</si>
  <si>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</si>
  <si>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</si>
  <si>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</si>
  <si>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</si>
  <si>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</si>
  <si>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</si>
  <si>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</si>
  <si>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</si>
  <si>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</si>
  <si>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</si>
  <si>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</si>
  <si>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</si>
  <si>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</si>
  <si>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</si>
  <si>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</si>
  <si>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</si>
  <si>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</si>
  <si>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</si>
  <si>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</si>
  <si>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</si>
  <si>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</si>
  <si>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</si>
  <si>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</si>
  <si>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</si>
  <si>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</si>
  <si>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</si>
  <si>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</si>
  <si>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</si>
  <si>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</si>
  <si>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</si>
  <si>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</si>
  <si>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</si>
  <si>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</si>
  <si>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</si>
  <si>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</si>
  <si>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</si>
  <si>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</si>
  <si>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</si>
  <si>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</si>
  <si>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</si>
  <si>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</si>
  <si>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</si>
  <si>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</si>
  <si>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</si>
  <si>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</si>
  <si>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</si>
  <si>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</si>
  <si>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</si>
  <si>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</si>
  <si>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</si>
  <si>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</si>
  <si>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</si>
  <si>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</si>
  <si>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</si>
  <si>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</si>
  <si>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</si>
  <si>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</si>
  <si>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</si>
  <si>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</si>
  <si>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</si>
  <si>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</si>
  <si>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</si>
  <si>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</si>
  <si>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</si>
  <si>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</si>
  <si>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</si>
  <si>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</si>
  <si>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</si>
  <si>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</si>
  <si>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glucose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</si>
</sst>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165" fontId="7" fillId="0" borderId="0" xfId="0" applyNumberFormat="1" applyFont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4"/>
  <sheetViews>
    <sheetView tabSelected="1" workbookViewId="0">
      <selection activeCell="A6" sqref="A6:E13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9.5546875" style="7" customWidth="1"/>
    <col min="6" max="6" width="8.88671875" style="7"/>
    <col min="7" max="7" width="8.88671875" style="7" customWidth="1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6" ht="23.4" x14ac:dyDescent="0.45">
      <c r="A1" s="6" t="s">
        <v>0</v>
      </c>
    </row>
    <row r="2" spans="1:26" x14ac:dyDescent="0.3">
      <c r="A2" s="7" t="s">
        <v>76</v>
      </c>
      <c r="D2" s="7" t="s">
        <v>27</v>
      </c>
      <c r="E2" s="7">
        <v>500</v>
      </c>
    </row>
    <row r="4" spans="1:2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6" x14ac:dyDescent="0.3">
      <c r="A6" s="14">
        <v>0</v>
      </c>
      <c r="B6" s="9">
        <v>16</v>
      </c>
      <c r="C6" s="7">
        <v>300</v>
      </c>
      <c r="D6" s="7">
        <v>1</v>
      </c>
      <c r="E6" s="15">
        <v>1</v>
      </c>
      <c r="U6" s="10"/>
      <c r="V6" s="11"/>
      <c r="W6" s="11"/>
    </row>
    <row r="7" spans="1:26" x14ac:dyDescent="0.3">
      <c r="A7" s="14">
        <v>500</v>
      </c>
      <c r="B7" s="9">
        <v>16</v>
      </c>
      <c r="C7" s="7">
        <v>300</v>
      </c>
      <c r="D7" s="7">
        <v>1</v>
      </c>
      <c r="E7" s="15">
        <f xml:space="preserve"> 2*E6</f>
        <v>2</v>
      </c>
      <c r="U7" s="10"/>
      <c r="V7" s="11"/>
      <c r="W7" s="11"/>
    </row>
    <row r="8" spans="1:26" x14ac:dyDescent="0.3">
      <c r="A8" s="14">
        <v>1000</v>
      </c>
      <c r="B8" s="9">
        <v>16</v>
      </c>
      <c r="C8" s="7">
        <v>300</v>
      </c>
      <c r="D8">
        <v>1</v>
      </c>
      <c r="E8" s="16">
        <f t="shared" ref="E8:E13" si="0">2*E7</f>
        <v>4</v>
      </c>
      <c r="U8" s="10"/>
      <c r="V8" s="11"/>
      <c r="W8" s="11"/>
    </row>
    <row r="9" spans="1:26" x14ac:dyDescent="0.3">
      <c r="A9" s="14">
        <v>1500</v>
      </c>
      <c r="B9" s="9">
        <v>16</v>
      </c>
      <c r="C9" s="7">
        <v>300</v>
      </c>
      <c r="D9">
        <v>1</v>
      </c>
      <c r="E9" s="16">
        <f t="shared" si="0"/>
        <v>8</v>
      </c>
      <c r="U9" s="10"/>
      <c r="V9" s="11"/>
      <c r="W9" s="11"/>
    </row>
    <row r="10" spans="1:26" x14ac:dyDescent="0.3">
      <c r="A10" s="14">
        <v>2000</v>
      </c>
      <c r="B10" s="9">
        <v>16</v>
      </c>
      <c r="C10" s="7">
        <v>300</v>
      </c>
      <c r="D10">
        <v>1</v>
      </c>
      <c r="E10" s="16">
        <f t="shared" si="0"/>
        <v>16</v>
      </c>
      <c r="U10" s="10"/>
      <c r="V10" s="11"/>
      <c r="W10" s="11"/>
    </row>
    <row r="11" spans="1:26" x14ac:dyDescent="0.3">
      <c r="A11" s="14">
        <v>2500</v>
      </c>
      <c r="B11" s="9">
        <v>16</v>
      </c>
      <c r="C11" s="7">
        <v>300</v>
      </c>
      <c r="D11">
        <v>1</v>
      </c>
      <c r="E11" s="16">
        <f t="shared" si="0"/>
        <v>32</v>
      </c>
      <c r="U11" s="10"/>
      <c r="V11" s="11"/>
      <c r="W11" s="11"/>
    </row>
    <row r="12" spans="1:26" x14ac:dyDescent="0.3">
      <c r="A12" s="14">
        <v>3000</v>
      </c>
      <c r="B12" s="9">
        <v>16</v>
      </c>
      <c r="C12" s="7">
        <v>300</v>
      </c>
      <c r="D12">
        <v>1</v>
      </c>
      <c r="E12" s="16">
        <f t="shared" si="0"/>
        <v>64</v>
      </c>
      <c r="U12" s="10"/>
      <c r="V12" s="11"/>
      <c r="W12" s="11"/>
    </row>
    <row r="13" spans="1:26" x14ac:dyDescent="0.3">
      <c r="A13" s="14">
        <v>3500</v>
      </c>
      <c r="B13" s="9">
        <v>16</v>
      </c>
      <c r="C13" s="7">
        <v>300</v>
      </c>
      <c r="D13">
        <v>1</v>
      </c>
      <c r="E13" s="16">
        <f t="shared" si="0"/>
        <v>128</v>
      </c>
      <c r="U13" s="10"/>
      <c r="V13" s="11"/>
      <c r="W13" s="11"/>
    </row>
    <row r="14" spans="1:26" x14ac:dyDescent="0.3">
      <c r="A14" s="9">
        <v>9999</v>
      </c>
      <c r="B14" s="8"/>
    </row>
    <row r="15" spans="1:26" x14ac:dyDescent="0.3">
      <c r="B15" s="8"/>
      <c r="C15" s="8"/>
    </row>
    <row r="16" spans="1:2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9999</v>
      </c>
    </row>
    <row r="17" spans="1:20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" t="s">
        <v>6</v>
      </c>
      <c r="S17" s="1" t="s">
        <v>105</v>
      </c>
    </row>
    <row r="18" spans="1:20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 s="8">
        <v>7</v>
      </c>
      <c r="Q18" s="8">
        <v>7</v>
      </c>
      <c r="R18" s="8">
        <v>7</v>
      </c>
      <c r="S18" s="8">
        <v>7</v>
      </c>
    </row>
    <row r="19" spans="1:20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1</v>
      </c>
      <c r="N19" s="7">
        <v>1</v>
      </c>
      <c r="O19" s="7">
        <v>1</v>
      </c>
      <c r="P19" s="8">
        <v>1</v>
      </c>
      <c r="Q19" s="8">
        <v>1</v>
      </c>
      <c r="R19" s="8">
        <v>1</v>
      </c>
      <c r="S19" s="8">
        <v>1</v>
      </c>
    </row>
    <row r="20" spans="1:20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</v>
      </c>
      <c r="N20" s="7">
        <v>1</v>
      </c>
      <c r="O20" s="7">
        <v>1</v>
      </c>
      <c r="P20" s="8">
        <v>10000</v>
      </c>
      <c r="Q20" s="8">
        <v>10000</v>
      </c>
      <c r="R20" s="8">
        <v>1</v>
      </c>
      <c r="S20" s="8">
        <v>1</v>
      </c>
    </row>
    <row r="21" spans="1:20" x14ac:dyDescent="0.3">
      <c r="A21" s="7" t="s">
        <v>34</v>
      </c>
      <c r="C21" s="7" t="s">
        <v>27</v>
      </c>
      <c r="D21" s="7">
        <v>0.1</v>
      </c>
      <c r="E21" s="7">
        <v>0.1</v>
      </c>
      <c r="F21" s="7">
        <v>0.1</v>
      </c>
      <c r="G21" s="7">
        <v>1</v>
      </c>
      <c r="H21" s="13">
        <v>1</v>
      </c>
      <c r="I21" s="7">
        <v>5</v>
      </c>
      <c r="J21" s="7">
        <v>5</v>
      </c>
      <c r="K21" s="7">
        <f>emulsie!D7</f>
        <v>1</v>
      </c>
      <c r="L21" s="7">
        <v>0.1</v>
      </c>
      <c r="M21" s="7">
        <v>2</v>
      </c>
      <c r="N21" s="7">
        <v>100</v>
      </c>
      <c r="O21" s="7">
        <v>1</v>
      </c>
      <c r="P21" s="8">
        <v>10</v>
      </c>
      <c r="Q21" s="8">
        <v>20</v>
      </c>
      <c r="R21" s="8">
        <v>1</v>
      </c>
      <c r="S21" s="8">
        <v>0.1</v>
      </c>
    </row>
    <row r="22" spans="1:20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 s="8">
        <v>10</v>
      </c>
      <c r="Q22" s="8">
        <v>11</v>
      </c>
      <c r="R22" s="8">
        <v>0</v>
      </c>
      <c r="S22" s="8">
        <v>1</v>
      </c>
      <c r="T22" s="11"/>
    </row>
    <row r="23" spans="1:20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 s="8">
        <v>50</v>
      </c>
      <c r="Q23" s="8">
        <v>100</v>
      </c>
      <c r="R23" s="8">
        <v>0</v>
      </c>
      <c r="S23" s="8">
        <v>95</v>
      </c>
      <c r="T23" s="11"/>
    </row>
    <row r="24" spans="1:20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 s="8">
        <v>0</v>
      </c>
      <c r="Q24" s="8">
        <v>0</v>
      </c>
      <c r="R24" s="8">
        <v>0</v>
      </c>
      <c r="S24" s="8">
        <v>2</v>
      </c>
      <c r="T24" s="11"/>
    </row>
    <row r="25" spans="1:20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 s="8">
        <v>0</v>
      </c>
      <c r="Q25" s="8">
        <v>0</v>
      </c>
      <c r="R25" s="8">
        <v>0</v>
      </c>
      <c r="S25" s="8">
        <v>5</v>
      </c>
      <c r="T25" s="11"/>
    </row>
    <row r="26" spans="1:20" x14ac:dyDescent="0.3">
      <c r="A26" s="7" t="s">
        <v>35</v>
      </c>
      <c r="C26" s="7" t="s">
        <v>27</v>
      </c>
      <c r="D26" s="7">
        <v>0.1</v>
      </c>
      <c r="E26" s="7">
        <v>0.1</v>
      </c>
      <c r="F26" s="7">
        <v>0.1</v>
      </c>
      <c r="G26" s="7">
        <v>5</v>
      </c>
      <c r="H26" s="13">
        <v>5</v>
      </c>
      <c r="I26" s="7">
        <v>50</v>
      </c>
      <c r="J26" s="7">
        <v>50</v>
      </c>
      <c r="K26" s="7">
        <f>emulsie!D12</f>
        <v>1</v>
      </c>
      <c r="L26" s="7">
        <v>0.1</v>
      </c>
      <c r="M26" s="7">
        <v>1</v>
      </c>
      <c r="N26" s="7">
        <v>100</v>
      </c>
      <c r="O26" s="7">
        <v>1</v>
      </c>
      <c r="P26" s="8">
        <v>10</v>
      </c>
      <c r="Q26" s="8">
        <v>100</v>
      </c>
      <c r="R26" s="8">
        <v>1</v>
      </c>
      <c r="S26" s="8">
        <v>0.1</v>
      </c>
    </row>
    <row r="27" spans="1:20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 s="8">
        <v>10</v>
      </c>
      <c r="Q27" s="8">
        <v>11</v>
      </c>
      <c r="R27" s="8">
        <v>0</v>
      </c>
      <c r="S27" s="8">
        <v>1</v>
      </c>
      <c r="T27" s="11"/>
    </row>
    <row r="28" spans="1:20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 s="8">
        <v>50</v>
      </c>
      <c r="Q28" s="8">
        <v>100</v>
      </c>
      <c r="R28" s="8">
        <v>0</v>
      </c>
      <c r="S28" s="8">
        <v>95</v>
      </c>
      <c r="T28" s="11"/>
    </row>
    <row r="29" spans="1:20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 s="8">
        <v>0</v>
      </c>
      <c r="Q29" s="8">
        <v>0</v>
      </c>
      <c r="R29" s="8">
        <v>0</v>
      </c>
      <c r="S29" s="8">
        <v>2</v>
      </c>
      <c r="T29" s="11"/>
    </row>
    <row r="30" spans="1:20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 s="8">
        <v>0</v>
      </c>
      <c r="Q30" s="8">
        <v>0</v>
      </c>
      <c r="R30" s="8">
        <v>0</v>
      </c>
      <c r="S30" s="8">
        <v>5</v>
      </c>
      <c r="T30" s="11"/>
    </row>
    <row r="31" spans="1:20" x14ac:dyDescent="0.3">
      <c r="A31" s="7" t="s">
        <v>92</v>
      </c>
      <c r="C31" s="7" t="s">
        <v>27</v>
      </c>
      <c r="D31" s="7">
        <v>0.1</v>
      </c>
      <c r="E31" s="7">
        <v>0.1</v>
      </c>
      <c r="F31" s="7">
        <v>0.1</v>
      </c>
      <c r="G31" s="7">
        <v>1</v>
      </c>
      <c r="H31" s="13">
        <v>1</v>
      </c>
      <c r="I31" s="7">
        <v>1</v>
      </c>
      <c r="J31" s="7">
        <v>1</v>
      </c>
      <c r="K31" s="7">
        <f>emulsie!D17</f>
        <v>1</v>
      </c>
      <c r="L31" s="7">
        <v>0.1</v>
      </c>
      <c r="M31" s="7">
        <v>1</v>
      </c>
      <c r="N31" s="7">
        <v>10</v>
      </c>
      <c r="O31" s="7">
        <v>1</v>
      </c>
      <c r="P31" s="8">
        <v>10</v>
      </c>
      <c r="Q31" s="8">
        <v>100</v>
      </c>
      <c r="R31" s="8">
        <v>1</v>
      </c>
      <c r="S31" s="8">
        <v>0.1</v>
      </c>
      <c r="T31" s="11"/>
    </row>
    <row r="32" spans="1:20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 s="8">
        <v>10</v>
      </c>
      <c r="Q32" s="8">
        <v>11</v>
      </c>
      <c r="R32" s="8">
        <v>0</v>
      </c>
      <c r="S32" s="8">
        <v>1</v>
      </c>
      <c r="T32" s="11"/>
    </row>
    <row r="33" spans="1:20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 s="8">
        <v>50</v>
      </c>
      <c r="Q33" s="8">
        <v>100</v>
      </c>
      <c r="R33" s="8">
        <v>0</v>
      </c>
      <c r="S33" s="8">
        <v>95</v>
      </c>
      <c r="T33" s="11"/>
    </row>
    <row r="34" spans="1:20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 s="8">
        <v>0</v>
      </c>
      <c r="Q34" s="8">
        <v>0</v>
      </c>
      <c r="R34" s="8">
        <v>0</v>
      </c>
      <c r="S34" s="8">
        <v>2</v>
      </c>
      <c r="T34" s="11"/>
    </row>
    <row r="35" spans="1:20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 s="8">
        <v>0</v>
      </c>
      <c r="Q35" s="8">
        <v>0</v>
      </c>
      <c r="R35" s="8">
        <v>0</v>
      </c>
      <c r="S35" s="8">
        <v>5</v>
      </c>
      <c r="T35" s="11"/>
    </row>
    <row r="36" spans="1:20" x14ac:dyDescent="0.3">
      <c r="H36" s="13"/>
    </row>
    <row r="37" spans="1:20" x14ac:dyDescent="0.3">
      <c r="B37" s="8"/>
      <c r="C37" s="8"/>
      <c r="H37" s="13"/>
    </row>
    <row r="38" spans="1:20" x14ac:dyDescent="0.3">
      <c r="B38" s="8" t="s">
        <v>26</v>
      </c>
      <c r="C38" s="8"/>
      <c r="H38" s="13"/>
    </row>
    <row r="39" spans="1:20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 s="8">
        <v>14</v>
      </c>
      <c r="Q39" s="8">
        <v>14</v>
      </c>
      <c r="R39" s="8">
        <v>0</v>
      </c>
      <c r="S39" s="8">
        <v>80</v>
      </c>
    </row>
    <row r="40" spans="1:20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 s="8">
        <v>0</v>
      </c>
      <c r="Q40" s="8">
        <v>0</v>
      </c>
      <c r="R40" s="8">
        <v>0</v>
      </c>
      <c r="S40" s="8">
        <v>0</v>
      </c>
    </row>
    <row r="41" spans="1:20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 s="8">
        <v>0</v>
      </c>
      <c r="Q41" s="8">
        <v>0</v>
      </c>
      <c r="R41" s="8">
        <v>0</v>
      </c>
      <c r="S41" s="8">
        <v>19</v>
      </c>
    </row>
    <row r="42" spans="1:20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 s="8">
        <v>0</v>
      </c>
      <c r="Q42" s="8">
        <v>0</v>
      </c>
      <c r="R42" s="8">
        <v>0</v>
      </c>
      <c r="S42" s="8">
        <v>0</v>
      </c>
    </row>
    <row r="43" spans="1:20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 s="8">
        <v>0</v>
      </c>
      <c r="Q43" s="8">
        <v>0</v>
      </c>
      <c r="R43" s="8">
        <v>0</v>
      </c>
      <c r="S43" s="8">
        <v>0</v>
      </c>
    </row>
    <row r="44" spans="1:20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 s="8">
        <v>0</v>
      </c>
      <c r="Q44" s="8">
        <v>0</v>
      </c>
      <c r="R44" s="8">
        <v>0</v>
      </c>
      <c r="S44" s="8">
        <v>0</v>
      </c>
    </row>
    <row r="45" spans="1:20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 s="8">
        <v>75</v>
      </c>
      <c r="Q45" s="8">
        <v>0</v>
      </c>
      <c r="R45" s="8">
        <v>0</v>
      </c>
      <c r="S45" s="8">
        <v>0</v>
      </c>
    </row>
    <row r="46" spans="1:20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 s="8">
        <v>0</v>
      </c>
      <c r="Q46" s="8">
        <v>75</v>
      </c>
      <c r="R46" s="8">
        <v>0</v>
      </c>
      <c r="S46" s="8">
        <v>0</v>
      </c>
    </row>
    <row r="47" spans="1:20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 s="8">
        <v>0</v>
      </c>
      <c r="Q47" s="8">
        <v>0</v>
      </c>
      <c r="R47" s="8">
        <v>0</v>
      </c>
      <c r="S47" s="8">
        <v>0</v>
      </c>
    </row>
    <row r="48" spans="1:20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  <c r="S48" s="8">
        <v>0</v>
      </c>
    </row>
    <row r="49" spans="1:19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 s="8">
        <v>9</v>
      </c>
      <c r="Q49" s="8">
        <v>9</v>
      </c>
      <c r="R49" s="8">
        <v>0</v>
      </c>
      <c r="S49" s="8">
        <v>0</v>
      </c>
    </row>
    <row r="50" spans="1:19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8">
        <v>0</v>
      </c>
      <c r="S50" s="8">
        <v>0</v>
      </c>
    </row>
    <row r="51" spans="1:19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 s="8">
        <v>0</v>
      </c>
      <c r="Q51" s="8">
        <v>0</v>
      </c>
      <c r="R51" s="8">
        <v>0</v>
      </c>
      <c r="S51" s="8">
        <v>0</v>
      </c>
    </row>
    <row r="52" spans="1:19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8">
        <v>0</v>
      </c>
      <c r="Q52" s="8">
        <v>0</v>
      </c>
      <c r="R52" s="8">
        <v>0</v>
      </c>
      <c r="S52" s="8">
        <v>0</v>
      </c>
    </row>
    <row r="53" spans="1:19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 s="8">
        <v>0</v>
      </c>
      <c r="Q53" s="8">
        <v>0</v>
      </c>
      <c r="R53" s="8">
        <v>0</v>
      </c>
      <c r="S53" s="8">
        <v>0</v>
      </c>
    </row>
    <row r="54" spans="1:19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 s="8">
        <v>0</v>
      </c>
      <c r="Q54" s="8">
        <v>0</v>
      </c>
      <c r="R54" s="8">
        <v>0</v>
      </c>
      <c r="S54" s="8">
        <v>0</v>
      </c>
    </row>
    <row r="55" spans="1:19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8">
        <v>0</v>
      </c>
      <c r="S55" s="8">
        <v>0</v>
      </c>
    </row>
    <row r="56" spans="1:19" x14ac:dyDescent="0.3">
      <c r="A56" s="7">
        <v>34</v>
      </c>
      <c r="B56" s="7" t="s">
        <v>101</v>
      </c>
      <c r="C56" s="7" t="s">
        <v>28</v>
      </c>
      <c r="D56" s="7">
        <f>[1]water!D42</f>
        <v>0</v>
      </c>
      <c r="E56" s="7">
        <v>1</v>
      </c>
      <c r="F56" s="7">
        <v>0</v>
      </c>
      <c r="G56" s="7">
        <f>'[1]milk choc'!D42</f>
        <v>0</v>
      </c>
      <c r="H56" s="13">
        <f>'[1]milk chocolate arabinose'!D42</f>
        <v>0</v>
      </c>
      <c r="I56" s="7">
        <f>'[1]gastic milk choc'!D42</f>
        <v>0</v>
      </c>
      <c r="J56" s="7">
        <f>'[1]gastic milk choc arab'!D42</f>
        <v>0</v>
      </c>
      <c r="K56" s="7">
        <f>[1]emulsie!D42</f>
        <v>0</v>
      </c>
      <c r="L56" s="7">
        <f>[1]arabinose!D42</f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8">
        <v>0</v>
      </c>
      <c r="S56" s="8">
        <v>1</v>
      </c>
    </row>
    <row r="57" spans="1:19" x14ac:dyDescent="0.3">
      <c r="A57" s="7">
        <v>35</v>
      </c>
      <c r="B57" s="7" t="s">
        <v>102</v>
      </c>
      <c r="C57" s="7" t="s">
        <v>28</v>
      </c>
      <c r="D57" s="7">
        <f>[1]water!D43</f>
        <v>0</v>
      </c>
      <c r="E57" s="7">
        <v>0</v>
      </c>
      <c r="F57" s="7">
        <v>0</v>
      </c>
      <c r="G57" s="7">
        <f>'[1]milk choc'!D43</f>
        <v>0</v>
      </c>
      <c r="H57" s="13">
        <f>'[1]milk chocolate arabinose'!D43</f>
        <v>0</v>
      </c>
      <c r="I57" s="7">
        <f>'[1]gastic milk choc'!D43</f>
        <v>0</v>
      </c>
      <c r="J57" s="7">
        <f>'[1]gastic milk choc arab'!D43</f>
        <v>0</v>
      </c>
      <c r="K57" s="7">
        <f>[1]emulsie!D43</f>
        <v>0</v>
      </c>
      <c r="L57" s="7">
        <f>[1]arabinose!D43</f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8">
        <v>0</v>
      </c>
      <c r="S57" s="8">
        <v>0</v>
      </c>
    </row>
    <row r="58" spans="1:19" x14ac:dyDescent="0.3">
      <c r="A58" s="7">
        <v>36</v>
      </c>
      <c r="B58" s="7" t="s">
        <v>103</v>
      </c>
      <c r="C58" s="7" t="s">
        <v>28</v>
      </c>
      <c r="D58" s="7">
        <f>[1]water!D44</f>
        <v>0</v>
      </c>
      <c r="E58" s="7">
        <f>[1]glucose!D44</f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f>[1]emulsie!D44</f>
        <v>0</v>
      </c>
      <c r="L58" s="7">
        <f>[1]arabinose!D44</f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8">
        <v>0</v>
      </c>
      <c r="S58" s="8">
        <v>0</v>
      </c>
    </row>
    <row r="59" spans="1:19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  <c r="S59" s="8">
        <v>0</v>
      </c>
    </row>
    <row r="60" spans="1:19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  <c r="S60" s="8">
        <v>0</v>
      </c>
    </row>
    <row r="61" spans="1:19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  <c r="S61" s="8">
        <v>0</v>
      </c>
    </row>
    <row r="62" spans="1:19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  <c r="S62" s="8">
        <v>0</v>
      </c>
    </row>
    <row r="63" spans="1:19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  <c r="S63" s="8">
        <v>0</v>
      </c>
    </row>
    <row r="64" spans="1:19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  <c r="S64" s="8">
        <v>0</v>
      </c>
    </row>
    <row r="65" spans="1:19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  <c r="S65" s="8">
        <v>0</v>
      </c>
    </row>
    <row r="66" spans="1:19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  <c r="S66" s="8">
        <v>0</v>
      </c>
    </row>
    <row r="67" spans="1:19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  <c r="S67" s="8">
        <v>0</v>
      </c>
    </row>
    <row r="68" spans="1:19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  <c r="S68" s="8">
        <v>0</v>
      </c>
    </row>
    <row r="69" spans="1:19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  <c r="S69" s="8">
        <v>0</v>
      </c>
    </row>
    <row r="70" spans="1:19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  <c r="S70" s="8">
        <v>0</v>
      </c>
    </row>
    <row r="71" spans="1:19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0</v>
      </c>
      <c r="S71" s="8">
        <v>0</v>
      </c>
    </row>
    <row r="72" spans="1:19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0</v>
      </c>
      <c r="S72" s="8">
        <v>0</v>
      </c>
    </row>
    <row r="73" spans="1:19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0</v>
      </c>
      <c r="S73" s="8">
        <v>0</v>
      </c>
    </row>
    <row r="74" spans="1:19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0</v>
      </c>
      <c r="S74" s="8">
        <v>0</v>
      </c>
    </row>
    <row r="75" spans="1:19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  <c r="S75" s="8">
        <v>0</v>
      </c>
    </row>
    <row r="76" spans="1:19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  <c r="S76" s="8">
        <v>0</v>
      </c>
    </row>
    <row r="77" spans="1:19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8">
        <v>100</v>
      </c>
      <c r="S77" s="8">
        <v>0</v>
      </c>
    </row>
    <row r="78" spans="1:19" x14ac:dyDescent="0.3">
      <c r="A78" s="7">
        <v>70</v>
      </c>
      <c r="B78" s="7" t="s">
        <v>7</v>
      </c>
      <c r="C78" s="7" t="s">
        <v>28</v>
      </c>
      <c r="D78" s="7">
        <f>water!D60</f>
        <v>0</v>
      </c>
      <c r="E78" s="7">
        <f>glucose!D60</f>
        <v>0</v>
      </c>
      <c r="F78" s="7">
        <f>sucrose!D60</f>
        <v>0</v>
      </c>
      <c r="G78" s="7">
        <f>'milk choc'!D60</f>
        <v>0</v>
      </c>
      <c r="H78" s="13">
        <f>'milk chocolate arabinose'!D60</f>
        <v>0</v>
      </c>
      <c r="I78" s="7">
        <f>'gastic milk choc'!D60</f>
        <v>0</v>
      </c>
      <c r="J78" s="7">
        <f>'gastic milk choc arab'!D60</f>
        <v>0</v>
      </c>
      <c r="K78" s="7">
        <f>emulsie!D60</f>
        <v>0</v>
      </c>
      <c r="L78" s="7">
        <f>arabinose!D60</f>
        <v>0</v>
      </c>
      <c r="M78" s="7">
        <v>0</v>
      </c>
      <c r="N78" s="7">
        <v>0</v>
      </c>
      <c r="O78" s="7">
        <v>0</v>
      </c>
      <c r="P78" s="8">
        <v>0</v>
      </c>
      <c r="Q78" s="8">
        <v>0</v>
      </c>
      <c r="R78" s="8">
        <v>0</v>
      </c>
      <c r="S78" s="8">
        <v>0</v>
      </c>
    </row>
    <row r="79" spans="1:19" x14ac:dyDescent="0.3">
      <c r="A79" s="7">
        <v>71</v>
      </c>
      <c r="B79" s="7" t="s">
        <v>25</v>
      </c>
      <c r="C79" s="7" t="s">
        <v>28</v>
      </c>
      <c r="D79" s="7">
        <f>water!D61</f>
        <v>0</v>
      </c>
      <c r="E79" s="7">
        <f>glucose!D61</f>
        <v>0</v>
      </c>
      <c r="F79" s="7">
        <f>sucrose!D61</f>
        <v>0</v>
      </c>
      <c r="G79" s="7">
        <f>'milk choc'!D61</f>
        <v>0</v>
      </c>
      <c r="H79" s="13">
        <f>'milk chocolate arabinose'!D61</f>
        <v>0</v>
      </c>
      <c r="I79" s="7">
        <f>'gastic milk choc'!D61</f>
        <v>0</v>
      </c>
      <c r="J79" s="7">
        <f>'gastic milk choc arab'!D61</f>
        <v>0</v>
      </c>
      <c r="K79" s="7">
        <f>emulsie!D61</f>
        <v>0</v>
      </c>
      <c r="L79" s="7">
        <f>arabinose!D61</f>
        <v>0</v>
      </c>
      <c r="M79" s="7">
        <v>0</v>
      </c>
      <c r="N79" s="7">
        <v>0</v>
      </c>
      <c r="O79" s="7">
        <v>0</v>
      </c>
      <c r="P79" s="8">
        <v>0</v>
      </c>
      <c r="Q79" s="8">
        <v>0</v>
      </c>
      <c r="R79" s="8">
        <v>0</v>
      </c>
      <c r="S79" s="8">
        <v>0</v>
      </c>
    </row>
    <row r="80" spans="1:19" x14ac:dyDescent="0.3">
      <c r="A80" s="7">
        <v>78</v>
      </c>
      <c r="B80" s="7" t="s">
        <v>49</v>
      </c>
      <c r="C80" s="7" t="s">
        <v>28</v>
      </c>
      <c r="D80" s="7">
        <f>water!D62</f>
        <v>0</v>
      </c>
      <c r="E80" s="7">
        <f>glucose!D62</f>
        <v>0</v>
      </c>
      <c r="F80" s="7">
        <f>sucrose!D62</f>
        <v>0</v>
      </c>
      <c r="G80" s="7">
        <f>'milk choc'!D62</f>
        <v>0</v>
      </c>
      <c r="H80" s="13">
        <f>'milk chocolate arabinose'!D62</f>
        <v>0</v>
      </c>
      <c r="I80" s="7">
        <f>'gastic milk choc'!D62</f>
        <v>0</v>
      </c>
      <c r="J80" s="7">
        <f>'gastic milk choc arab'!D62</f>
        <v>0</v>
      </c>
      <c r="K80" s="7">
        <f>emulsie!D62</f>
        <v>0</v>
      </c>
      <c r="L80" s="7">
        <f>arabinose!D62</f>
        <v>0</v>
      </c>
      <c r="M80" s="7">
        <v>0</v>
      </c>
      <c r="N80" s="7">
        <v>0</v>
      </c>
      <c r="O80" s="7">
        <v>0</v>
      </c>
      <c r="P80" s="8">
        <v>0</v>
      </c>
      <c r="Q80" s="8">
        <v>0</v>
      </c>
      <c r="R80" s="8">
        <v>0</v>
      </c>
      <c r="S80" s="8">
        <v>0</v>
      </c>
    </row>
    <row r="81" spans="1:19" x14ac:dyDescent="0.3">
      <c r="A81" s="7">
        <v>79</v>
      </c>
      <c r="B81" s="7" t="s">
        <v>50</v>
      </c>
      <c r="C81" s="7" t="s">
        <v>28</v>
      </c>
      <c r="D81" s="7">
        <f>water!D63</f>
        <v>0</v>
      </c>
      <c r="E81" s="7">
        <f>glucose!D63</f>
        <v>0</v>
      </c>
      <c r="F81" s="7">
        <f>sucrose!D63</f>
        <v>0</v>
      </c>
      <c r="G81" s="7">
        <f>'milk choc'!D63</f>
        <v>0</v>
      </c>
      <c r="H81" s="13">
        <f>'milk chocolate arabinose'!D63</f>
        <v>0</v>
      </c>
      <c r="I81" s="7">
        <f>'gastic milk choc'!D63</f>
        <v>0</v>
      </c>
      <c r="J81" s="7">
        <f>'gastic milk choc arab'!D63</f>
        <v>0</v>
      </c>
      <c r="K81" s="7">
        <f>emulsie!D63</f>
        <v>0</v>
      </c>
      <c r="L81" s="7">
        <f>arabinose!D63</f>
        <v>0</v>
      </c>
      <c r="M81" s="7">
        <v>0</v>
      </c>
      <c r="N81" s="7">
        <v>0</v>
      </c>
      <c r="O81" s="7">
        <v>0</v>
      </c>
      <c r="P81" s="8">
        <v>0</v>
      </c>
      <c r="Q81" s="8">
        <v>0</v>
      </c>
      <c r="R81" s="8">
        <v>0</v>
      </c>
      <c r="S81" s="8">
        <v>0</v>
      </c>
    </row>
    <row r="82" spans="1:19" x14ac:dyDescent="0.3">
      <c r="A82" s="7">
        <v>80</v>
      </c>
      <c r="B82" s="7" t="s">
        <v>64</v>
      </c>
      <c r="C82" s="7" t="s">
        <v>51</v>
      </c>
      <c r="D82" s="7">
        <f>water!D64</f>
        <v>0</v>
      </c>
      <c r="E82" s="7">
        <f>glucose!D64</f>
        <v>0</v>
      </c>
      <c r="F82" s="7">
        <f>sucrose!D64</f>
        <v>0</v>
      </c>
      <c r="G82" s="7">
        <f>'milk choc'!D64</f>
        <v>0</v>
      </c>
      <c r="H82" s="13">
        <f>'milk chocolate arabinose'!D64</f>
        <v>0</v>
      </c>
      <c r="I82" s="7">
        <f>'gastic milk choc'!D64</f>
        <v>0</v>
      </c>
      <c r="J82" s="7">
        <f>'gastic milk choc arab'!D64</f>
        <v>0</v>
      </c>
      <c r="K82" s="7">
        <f>emulsie!D64</f>
        <v>0</v>
      </c>
      <c r="L82" s="7">
        <f>arabinose!D64</f>
        <v>0</v>
      </c>
      <c r="M82" s="7">
        <v>0</v>
      </c>
      <c r="N82" s="7">
        <v>0</v>
      </c>
      <c r="O82" s="7">
        <v>0</v>
      </c>
      <c r="P82" s="8">
        <v>0</v>
      </c>
      <c r="Q82" s="8">
        <v>0</v>
      </c>
      <c r="R82" s="8">
        <v>0</v>
      </c>
      <c r="S82" s="8">
        <v>0</v>
      </c>
    </row>
    <row r="83" spans="1:19" x14ac:dyDescent="0.3">
      <c r="A83" s="7">
        <v>0</v>
      </c>
      <c r="D83" s="7">
        <f t="shared" ref="D83:L83" si="1">SUM(D39:D82)</f>
        <v>100</v>
      </c>
      <c r="E83" s="7">
        <f t="shared" si="1"/>
        <v>100</v>
      </c>
      <c r="F83" s="7">
        <f t="shared" si="1"/>
        <v>100</v>
      </c>
      <c r="G83" s="7">
        <f t="shared" si="1"/>
        <v>100.31</v>
      </c>
      <c r="H83" s="7">
        <f t="shared" si="1"/>
        <v>100.41</v>
      </c>
      <c r="I83" s="7">
        <f t="shared" si="1"/>
        <v>99.83</v>
      </c>
      <c r="J83" s="7">
        <f t="shared" si="1"/>
        <v>99.83</v>
      </c>
      <c r="K83" s="7">
        <f t="shared" si="1"/>
        <v>100</v>
      </c>
      <c r="L83" s="7">
        <f t="shared" si="1"/>
        <v>100</v>
      </c>
      <c r="M83" s="7">
        <f>SUM(M39:M82)</f>
        <v>99</v>
      </c>
      <c r="N83" s="7">
        <f t="shared" ref="N83:R83" si="2">SUM(N39:N82)</f>
        <v>99</v>
      </c>
      <c r="O83" s="7">
        <f t="shared" si="2"/>
        <v>99</v>
      </c>
      <c r="P83" s="7">
        <f t="shared" si="2"/>
        <v>98</v>
      </c>
      <c r="Q83" s="7">
        <f t="shared" si="2"/>
        <v>98</v>
      </c>
      <c r="R83" s="7">
        <f t="shared" si="2"/>
        <v>100</v>
      </c>
      <c r="S83" s="7">
        <f t="shared" ref="S83" si="3">SUM(S39:S82)</f>
        <v>100</v>
      </c>
    </row>
    <row r="84" spans="1:19" x14ac:dyDescent="0.3">
      <c r="B84" s="7" t="s">
        <v>88</v>
      </c>
      <c r="C84" s="7" t="s">
        <v>91</v>
      </c>
      <c r="D84" s="7">
        <f>water!D66</f>
        <v>1</v>
      </c>
      <c r="E84" s="7">
        <f>glucose!D66</f>
        <v>1.44</v>
      </c>
      <c r="F84" s="7">
        <f>sucrose!D66</f>
        <v>1.44</v>
      </c>
      <c r="G84" s="7">
        <f>'milk choc'!D66</f>
        <v>1.3</v>
      </c>
      <c r="H84" s="13">
        <f>'milk chocolate arabinose'!D66</f>
        <v>1.3</v>
      </c>
      <c r="I84" s="7">
        <f>'gastic milk choc'!D66</f>
        <v>1.2</v>
      </c>
      <c r="J84" s="7">
        <f>'gastic milk choc arab'!D66</f>
        <v>1.2</v>
      </c>
      <c r="K84" s="7">
        <f>emulsie!D66</f>
        <v>0.95</v>
      </c>
      <c r="L84" s="7">
        <f>arabinose!D66</f>
        <v>1.44</v>
      </c>
      <c r="M84" s="7">
        <v>1.44</v>
      </c>
      <c r="N84" s="7">
        <v>1.44</v>
      </c>
      <c r="O84" s="7">
        <v>1.44</v>
      </c>
      <c r="P84" s="8">
        <v>1.4</v>
      </c>
      <c r="Q84" s="8">
        <v>1.4</v>
      </c>
      <c r="R84" s="8">
        <v>1.4</v>
      </c>
      <c r="S84" s="8">
        <v>1.1000000000000001</v>
      </c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topLeftCell="A3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2023-11-04T19:24:06Z</dcterms:modified>
</cp:coreProperties>
</file>