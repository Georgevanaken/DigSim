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24226"/>
  <xr:revisionPtr revIDLastSave="0" documentId="8_{F8C164AD-952D-4218-A977-8BE842A3CF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7" i="3" l="1"/>
  <c r="AC87" i="3" l="1"/>
  <c r="AF87" i="3"/>
  <c r="AE87" i="3"/>
  <c r="AD87" i="3"/>
  <c r="V87" i="3"/>
  <c r="S87" i="3"/>
  <c r="AA87" i="3" l="1"/>
  <c r="Z87" i="3"/>
  <c r="Y87" i="3"/>
  <c r="X87" i="3"/>
  <c r="U87" i="3"/>
  <c r="R87" i="3"/>
  <c r="AB87" i="3" l="1"/>
  <c r="Q87" i="3" l="1"/>
  <c r="P87" i="3"/>
  <c r="O87" i="3"/>
  <c r="N87" i="3"/>
  <c r="M87" i="3"/>
  <c r="D59" i="3" l="1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8" i="3" l="1"/>
  <c r="L86" i="3"/>
  <c r="L85" i="3"/>
  <c r="L84" i="3"/>
  <c r="L80" i="3"/>
  <c r="L79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7" i="3" l="1"/>
  <c r="K88" i="3"/>
  <c r="J88" i="3"/>
  <c r="I88" i="3"/>
  <c r="H88" i="3"/>
  <c r="G88" i="3"/>
  <c r="F88" i="3"/>
  <c r="E88" i="3"/>
  <c r="D88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7" i="3" l="1"/>
  <c r="D87" i="3"/>
  <c r="E87" i="3"/>
  <c r="G87" i="3"/>
  <c r="F87" i="3"/>
  <c r="H87" i="3"/>
  <c r="J87" i="3"/>
  <c r="K87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<sst xmlns="http://schemas.openxmlformats.org/spreadsheetml/2006/main" count="1117" uniqueCount="119">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</sst>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"/>
  <sheetViews>
    <sheetView tabSelected="1" workbookViewId="0">
      <selection activeCell="C12" sqref="C12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6" ht="23.4" x14ac:dyDescent="0.45">
      <c r="A1" s="6" t="s">
        <v>0</v>
      </c>
    </row>
    <row r="2" spans="1:36" x14ac:dyDescent="0.3">
      <c r="A2" s="7" t="s">
        <v>76</v>
      </c>
      <c r="D2" s="7" t="s">
        <v>27</v>
      </c>
      <c r="E2" s="7">
        <v>500</v>
      </c>
    </row>
    <row r="4" spans="1:3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8"/>
      <c r="AI4" s="8"/>
      <c r="AJ4" s="8"/>
    </row>
    <row r="5" spans="1:36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6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6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6" x14ac:dyDescent="0.3">
      <c r="A8" s="14">
        <v>300</v>
      </c>
      <c r="B8" s="9">
        <v>1</v>
      </c>
      <c r="C8" s="7">
        <v>250</v>
      </c>
      <c r="D8" s="7">
        <v>1</v>
      </c>
      <c r="E8" s="7">
        <v>50</v>
      </c>
      <c r="AD8" s="10"/>
      <c r="AE8" s="11"/>
      <c r="AF8" s="11"/>
    </row>
    <row r="9" spans="1:36" x14ac:dyDescent="0.3">
      <c r="A9" s="14">
        <v>301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6" x14ac:dyDescent="0.3">
      <c r="A10" s="14">
        <v>600</v>
      </c>
      <c r="B10" s="9">
        <v>1</v>
      </c>
      <c r="C10" s="7">
        <v>250</v>
      </c>
      <c r="D10" s="7">
        <v>1</v>
      </c>
      <c r="E10" s="7">
        <v>50</v>
      </c>
      <c r="AD10" s="10"/>
      <c r="AE10" s="11"/>
      <c r="AF10" s="11"/>
    </row>
    <row r="11" spans="1:36" x14ac:dyDescent="0.3">
      <c r="A11" s="14">
        <v>601</v>
      </c>
      <c r="B11" s="9">
        <v>15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6" x14ac:dyDescent="0.3">
      <c r="A12" s="14">
        <v>602</v>
      </c>
      <c r="B12" s="9">
        <v>27</v>
      </c>
      <c r="C12">
        <v>0.125</v>
      </c>
      <c r="D12">
        <v>2</v>
      </c>
      <c r="E12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6" x14ac:dyDescent="0.3">
      <c r="A13" s="14">
        <v>900</v>
      </c>
      <c r="B13" s="9">
        <v>1</v>
      </c>
      <c r="C13">
        <v>250</v>
      </c>
      <c r="D13">
        <v>1</v>
      </c>
      <c r="E13">
        <v>50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6" x14ac:dyDescent="0.3">
      <c r="A14" s="9">
        <v>9999</v>
      </c>
      <c r="B14" s="8"/>
    </row>
    <row r="15" spans="1:36" x14ac:dyDescent="0.3">
      <c r="B15" s="8"/>
      <c r="C15" s="8"/>
    </row>
    <row r="16" spans="1:3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17</v>
      </c>
      <c r="U16" s="12">
        <v>18</v>
      </c>
      <c r="V16" s="12">
        <v>19</v>
      </c>
      <c r="W16" s="12">
        <v>20</v>
      </c>
      <c r="X16" s="12">
        <v>21</v>
      </c>
      <c r="Y16" s="12">
        <v>22</v>
      </c>
      <c r="Z16" s="12">
        <v>23</v>
      </c>
      <c r="AA16" s="12">
        <v>24</v>
      </c>
      <c r="AB16" s="12">
        <v>25</v>
      </c>
      <c r="AC16" s="2">
        <v>26</v>
      </c>
      <c r="AD16" s="1">
        <v>27</v>
      </c>
      <c r="AE16" s="1">
        <v>28</v>
      </c>
      <c r="AF16" s="1">
        <v>29</v>
      </c>
      <c r="AG16" s="1">
        <v>30</v>
      </c>
      <c r="AH16" s="8">
        <v>9999</v>
      </c>
    </row>
    <row r="17" spans="1:33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6" t="s">
        <v>105</v>
      </c>
      <c r="S17" s="17" t="s">
        <v>107</v>
      </c>
      <c r="T17" s="17" t="s">
        <v>108</v>
      </c>
      <c r="U17" s="18" t="s">
        <v>106</v>
      </c>
      <c r="V17" s="18" t="s">
        <v>109</v>
      </c>
      <c r="W17" s="18" t="s">
        <v>110</v>
      </c>
      <c r="X17" t="s">
        <v>8</v>
      </c>
      <c r="Y17" t="s">
        <v>8</v>
      </c>
      <c r="Z17" t="s">
        <v>8</v>
      </c>
      <c r="AA17" t="s">
        <v>8</v>
      </c>
      <c r="AB17" s="1" t="s">
        <v>6</v>
      </c>
      <c r="AC17" s="1" t="s">
        <v>111</v>
      </c>
      <c r="AD17" s="1" t="s">
        <v>112</v>
      </c>
      <c r="AE17" s="1" t="s">
        <v>113</v>
      </c>
      <c r="AF17" s="1" t="s">
        <v>114</v>
      </c>
      <c r="AG17" s="1" t="s">
        <v>118</v>
      </c>
    </row>
    <row r="18" spans="1:33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>
        <v>7</v>
      </c>
      <c r="Q18">
        <v>7</v>
      </c>
      <c r="R18" s="16">
        <v>7</v>
      </c>
      <c r="S18" s="16">
        <v>7</v>
      </c>
      <c r="T18" s="16">
        <v>7</v>
      </c>
      <c r="U18" s="18">
        <v>7</v>
      </c>
      <c r="V18" s="18">
        <v>7</v>
      </c>
      <c r="W18" s="18">
        <v>7</v>
      </c>
      <c r="X18">
        <v>0</v>
      </c>
      <c r="Y18">
        <v>0</v>
      </c>
      <c r="Z18">
        <v>0</v>
      </c>
      <c r="AA18">
        <v>0</v>
      </c>
      <c r="AB18" s="8">
        <v>7</v>
      </c>
      <c r="AC18" s="1">
        <v>7</v>
      </c>
      <c r="AD18" s="1">
        <v>7</v>
      </c>
      <c r="AE18" s="1">
        <v>7</v>
      </c>
      <c r="AF18" s="1">
        <v>7</v>
      </c>
      <c r="AG18" s="1">
        <v>3</v>
      </c>
    </row>
    <row r="19" spans="1:33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2</v>
      </c>
      <c r="N19" s="7">
        <v>1</v>
      </c>
      <c r="O19" s="7">
        <v>1</v>
      </c>
      <c r="P19">
        <v>1</v>
      </c>
      <c r="Q19">
        <v>1</v>
      </c>
      <c r="R19" s="16">
        <v>20</v>
      </c>
      <c r="S19" s="16">
        <v>5</v>
      </c>
      <c r="T19" s="16">
        <v>1</v>
      </c>
      <c r="U19" s="18">
        <v>20</v>
      </c>
      <c r="V19" s="18">
        <v>5</v>
      </c>
      <c r="W19" s="18">
        <v>1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</row>
    <row r="20" spans="1:33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1000</v>
      </c>
      <c r="N20" s="7">
        <v>1</v>
      </c>
      <c r="O20" s="7">
        <v>1</v>
      </c>
      <c r="P20">
        <v>10000</v>
      </c>
      <c r="Q20">
        <v>10000</v>
      </c>
      <c r="R20" s="16">
        <v>1000</v>
      </c>
      <c r="S20" s="16">
        <v>10</v>
      </c>
      <c r="T20" s="16">
        <v>10</v>
      </c>
      <c r="U20" s="18">
        <v>1000</v>
      </c>
      <c r="V20" s="18">
        <v>10</v>
      </c>
      <c r="W20" s="18">
        <v>10</v>
      </c>
      <c r="X20">
        <v>0</v>
      </c>
      <c r="Y20">
        <v>0</v>
      </c>
      <c r="Z20">
        <v>0</v>
      </c>
      <c r="AA20">
        <v>0</v>
      </c>
      <c r="AB20" s="8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</row>
    <row r="21" spans="1:33" s="1" customFormat="1" x14ac:dyDescent="0.3">
      <c r="A21" s="1" t="s">
        <v>34</v>
      </c>
      <c r="C21" s="1" t="s">
        <v>27</v>
      </c>
      <c r="D21" s="1">
        <v>0.1</v>
      </c>
      <c r="E21" s="1">
        <v>0.1</v>
      </c>
      <c r="F21" s="1">
        <v>0.1</v>
      </c>
      <c r="G21" s="1">
        <v>1</v>
      </c>
      <c r="H21" s="15">
        <v>1</v>
      </c>
      <c r="I21" s="1">
        <v>5</v>
      </c>
      <c r="J21" s="1">
        <v>5</v>
      </c>
      <c r="K21" s="1">
        <f>emulsie!D7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20</v>
      </c>
      <c r="R21" s="17">
        <v>0.5</v>
      </c>
      <c r="S21" s="17">
        <v>10</v>
      </c>
      <c r="T21" s="17">
        <v>10</v>
      </c>
      <c r="U21" s="19">
        <v>0.5</v>
      </c>
      <c r="V21" s="19">
        <v>50</v>
      </c>
      <c r="W21" s="19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0.1</v>
      </c>
    </row>
    <row r="22" spans="1:33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6">
        <v>16</v>
      </c>
      <c r="S22" s="16">
        <v>17</v>
      </c>
      <c r="T22" s="16">
        <v>0</v>
      </c>
      <c r="U22" s="18">
        <v>19</v>
      </c>
      <c r="V22" s="18">
        <v>20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6">
        <v>60</v>
      </c>
      <c r="S23" s="16">
        <v>100</v>
      </c>
      <c r="T23" s="16">
        <v>0</v>
      </c>
      <c r="U23" s="18">
        <v>70</v>
      </c>
      <c r="V23" s="18">
        <v>100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6">
        <v>0</v>
      </c>
      <c r="S25" s="16">
        <v>0</v>
      </c>
      <c r="T25" s="16">
        <v>0</v>
      </c>
      <c r="U25" s="18">
        <v>0</v>
      </c>
      <c r="V25" s="18">
        <v>0</v>
      </c>
      <c r="W25" s="18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s="1" customFormat="1" x14ac:dyDescent="0.3">
      <c r="A26" s="1" t="s">
        <v>35</v>
      </c>
      <c r="C26" s="1" t="s">
        <v>27</v>
      </c>
      <c r="D26" s="1">
        <v>0.1</v>
      </c>
      <c r="E26" s="1">
        <v>0.1</v>
      </c>
      <c r="F26" s="1">
        <v>0.1</v>
      </c>
      <c r="G26" s="1">
        <v>5</v>
      </c>
      <c r="H26" s="15">
        <v>5</v>
      </c>
      <c r="I26" s="1">
        <v>50</v>
      </c>
      <c r="J26" s="1">
        <v>50</v>
      </c>
      <c r="K26" s="1">
        <f>emulsie!D12</f>
        <v>1</v>
      </c>
      <c r="L26" s="1">
        <v>0.1</v>
      </c>
      <c r="M26" s="1">
        <v>10</v>
      </c>
      <c r="N26" s="1">
        <v>50</v>
      </c>
      <c r="O26" s="1">
        <v>1</v>
      </c>
      <c r="P26" s="1">
        <v>10</v>
      </c>
      <c r="Q26" s="1">
        <v>100</v>
      </c>
      <c r="R26" s="17">
        <v>5</v>
      </c>
      <c r="S26" s="17">
        <v>5</v>
      </c>
      <c r="T26" s="17">
        <v>5</v>
      </c>
      <c r="U26" s="19">
        <v>50</v>
      </c>
      <c r="V26" s="19">
        <v>50</v>
      </c>
      <c r="W26" s="19">
        <v>50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0.1</v>
      </c>
    </row>
    <row r="27" spans="1:33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6">
        <v>16</v>
      </c>
      <c r="S27" s="16">
        <v>17</v>
      </c>
      <c r="T27" s="16">
        <v>0</v>
      </c>
      <c r="U27" s="18">
        <v>19</v>
      </c>
      <c r="V27" s="18">
        <v>20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6">
        <v>60</v>
      </c>
      <c r="S28" s="16">
        <v>100</v>
      </c>
      <c r="T28" s="16">
        <v>0</v>
      </c>
      <c r="U28" s="18">
        <v>60</v>
      </c>
      <c r="V28" s="18">
        <v>100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0</v>
      </c>
      <c r="S29" s="16">
        <v>0</v>
      </c>
      <c r="T29" s="16">
        <v>0</v>
      </c>
      <c r="U29" s="18">
        <v>20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6">
        <v>40</v>
      </c>
      <c r="S30" s="16">
        <v>0</v>
      </c>
      <c r="T30" s="16">
        <v>0</v>
      </c>
      <c r="U30" s="18">
        <v>40</v>
      </c>
      <c r="V30" s="18">
        <v>0</v>
      </c>
      <c r="W30" s="18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s="1" customFormat="1" x14ac:dyDescent="0.3">
      <c r="A31" s="1" t="s">
        <v>92</v>
      </c>
      <c r="C31" s="1" t="s">
        <v>27</v>
      </c>
      <c r="D31" s="1">
        <v>0.1</v>
      </c>
      <c r="E31" s="1">
        <v>0.1</v>
      </c>
      <c r="F31" s="1">
        <v>0.1</v>
      </c>
      <c r="G31" s="1">
        <v>1</v>
      </c>
      <c r="H31" s="15">
        <v>1</v>
      </c>
      <c r="I31" s="1">
        <v>1</v>
      </c>
      <c r="J31" s="1">
        <v>1</v>
      </c>
      <c r="K31" s="1">
        <f>emulsie!D17</f>
        <v>1</v>
      </c>
      <c r="L31" s="1">
        <v>0.1</v>
      </c>
      <c r="M31" s="1">
        <v>2</v>
      </c>
      <c r="N31" s="1">
        <v>10</v>
      </c>
      <c r="O31" s="1">
        <v>1</v>
      </c>
      <c r="P31" s="1">
        <v>10</v>
      </c>
      <c r="Q31" s="1">
        <v>100</v>
      </c>
      <c r="R31" s="17">
        <v>5</v>
      </c>
      <c r="S31" s="17">
        <v>1</v>
      </c>
      <c r="T31" s="17">
        <v>1</v>
      </c>
      <c r="U31" s="19">
        <v>10</v>
      </c>
      <c r="V31" s="19">
        <v>20</v>
      </c>
      <c r="W31" s="19">
        <v>20</v>
      </c>
      <c r="X31" s="1">
        <v>0.1</v>
      </c>
      <c r="Y31" s="1">
        <v>0.1</v>
      </c>
      <c r="Z31" s="1">
        <v>0.1</v>
      </c>
      <c r="AA31" s="1">
        <v>0.1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0.1</v>
      </c>
    </row>
    <row r="32" spans="1:33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>
        <v>10</v>
      </c>
      <c r="Q32">
        <v>11</v>
      </c>
      <c r="R32" s="16">
        <v>16</v>
      </c>
      <c r="S32" s="16">
        <v>17</v>
      </c>
      <c r="T32" s="16">
        <v>0</v>
      </c>
      <c r="U32" s="18">
        <v>19</v>
      </c>
      <c r="V32" s="18">
        <v>20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>
        <v>50</v>
      </c>
      <c r="Q33">
        <v>100</v>
      </c>
      <c r="R33" s="16">
        <v>50</v>
      </c>
      <c r="S33" s="16">
        <v>100</v>
      </c>
      <c r="T33" s="16">
        <v>0</v>
      </c>
      <c r="U33" s="18">
        <v>50</v>
      </c>
      <c r="V33" s="18">
        <v>100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0</v>
      </c>
      <c r="S34" s="16">
        <v>0</v>
      </c>
      <c r="T34" s="16">
        <v>0</v>
      </c>
      <c r="U34" s="18">
        <v>20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16">
        <v>50</v>
      </c>
      <c r="S35" s="16">
        <v>0</v>
      </c>
      <c r="T35" s="16">
        <v>0</v>
      </c>
      <c r="U35" s="18">
        <v>50</v>
      </c>
      <c r="V35" s="18">
        <v>0</v>
      </c>
      <c r="W35" s="18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3">
      <c r="H36" s="13"/>
      <c r="P36"/>
      <c r="Q36"/>
      <c r="S36"/>
      <c r="T36"/>
      <c r="U36"/>
      <c r="V36"/>
      <c r="W36"/>
    </row>
    <row r="37" spans="1:33" x14ac:dyDescent="0.3">
      <c r="B37" s="8"/>
      <c r="C37" s="8"/>
      <c r="H37" s="13"/>
      <c r="P37"/>
      <c r="Q37"/>
      <c r="S37"/>
      <c r="T37"/>
      <c r="U37"/>
      <c r="V37"/>
      <c r="W37"/>
    </row>
    <row r="38" spans="1:33" x14ac:dyDescent="0.3">
      <c r="B38" s="8" t="s">
        <v>26</v>
      </c>
      <c r="C38" s="8"/>
      <c r="H38" s="13"/>
      <c r="P38"/>
      <c r="Q38"/>
      <c r="S38"/>
      <c r="T38"/>
      <c r="U38"/>
      <c r="V38"/>
      <c r="W38"/>
    </row>
    <row r="39" spans="1:33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>
        <v>14</v>
      </c>
      <c r="Q39">
        <v>14</v>
      </c>
      <c r="R39" s="7">
        <v>67</v>
      </c>
      <c r="S39">
        <v>67</v>
      </c>
      <c r="T39">
        <v>67</v>
      </c>
      <c r="U39">
        <v>54</v>
      </c>
      <c r="V39">
        <v>54</v>
      </c>
      <c r="W39">
        <v>54</v>
      </c>
      <c r="X39" s="7">
        <v>100</v>
      </c>
      <c r="Y39" s="7">
        <v>100</v>
      </c>
      <c r="Z39" s="7">
        <v>100</v>
      </c>
      <c r="AA39" s="7">
        <v>100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9</v>
      </c>
      <c r="S40">
        <v>9</v>
      </c>
      <c r="T40">
        <v>9</v>
      </c>
      <c r="U40">
        <v>9</v>
      </c>
      <c r="V40">
        <v>9</v>
      </c>
      <c r="W40">
        <v>9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6</v>
      </c>
      <c r="S42">
        <v>6</v>
      </c>
      <c r="T42">
        <v>6</v>
      </c>
      <c r="U42">
        <v>6</v>
      </c>
      <c r="V42">
        <v>6</v>
      </c>
      <c r="W42">
        <v>6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>
        <v>75</v>
      </c>
      <c r="Q45">
        <v>0</v>
      </c>
      <c r="R45" s="7">
        <v>50</v>
      </c>
      <c r="S45">
        <v>50</v>
      </c>
      <c r="T45">
        <v>50</v>
      </c>
      <c r="U45">
        <v>50</v>
      </c>
      <c r="V45">
        <v>50</v>
      </c>
      <c r="W45">
        <v>50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>
        <v>0</v>
      </c>
      <c r="Q46">
        <v>75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>
        <v>9</v>
      </c>
      <c r="Q49">
        <v>9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3">
      <c r="A56" s="7">
        <v>34</v>
      </c>
      <c r="B56" s="7" t="s">
        <v>101</v>
      </c>
      <c r="C56" s="7" t="s">
        <v>28</v>
      </c>
      <c r="D56" s="7">
        <v>0</v>
      </c>
      <c r="E56" s="7">
        <v>1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3">
      <c r="A57" s="7">
        <v>35</v>
      </c>
      <c r="B57" s="7" t="s">
        <v>102</v>
      </c>
      <c r="C57" s="7" t="s">
        <v>28</v>
      </c>
      <c r="D57" s="7">
        <v>0</v>
      </c>
      <c r="E57" s="7">
        <v>0</v>
      </c>
      <c r="F57" s="7">
        <v>0</v>
      </c>
      <c r="G57" s="7">
        <v>0</v>
      </c>
      <c r="H57" s="13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3">
      <c r="A58" s="7">
        <v>36</v>
      </c>
      <c r="B58" s="7" t="s">
        <v>103</v>
      </c>
      <c r="C58" s="7" t="s">
        <v>28</v>
      </c>
      <c r="D58" s="7">
        <v>0</v>
      </c>
      <c r="E58" s="7"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100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100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3">
      <c r="A78">
        <v>68</v>
      </c>
      <c r="B78" t="s">
        <v>118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100</v>
      </c>
    </row>
    <row r="79" spans="1:33" x14ac:dyDescent="0.3">
      <c r="A79" s="7">
        <v>70</v>
      </c>
      <c r="B79" s="7" t="s">
        <v>7</v>
      </c>
      <c r="C79" s="7" t="s">
        <v>28</v>
      </c>
      <c r="D79" s="7">
        <f>water!D60</f>
        <v>0</v>
      </c>
      <c r="E79" s="7">
        <f>glucose!D60</f>
        <v>0</v>
      </c>
      <c r="F79" s="7">
        <f>sucrose!D60</f>
        <v>0</v>
      </c>
      <c r="G79" s="7">
        <f>'milk choc'!D60</f>
        <v>0</v>
      </c>
      <c r="H79" s="13">
        <f>'milk chocolate arabinose'!D60</f>
        <v>0</v>
      </c>
      <c r="I79" s="7">
        <f>'gastic milk choc'!D60</f>
        <v>0</v>
      </c>
      <c r="J79" s="7">
        <f>'gastic milk choc arab'!D60</f>
        <v>0</v>
      </c>
      <c r="K79" s="7">
        <f>emulsie!D60</f>
        <v>0</v>
      </c>
      <c r="L79" s="7">
        <f>arabinose!D60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 s="7">
        <v>71</v>
      </c>
      <c r="B80" s="7" t="s">
        <v>25</v>
      </c>
      <c r="C80" s="7" t="s">
        <v>28</v>
      </c>
      <c r="D80" s="7">
        <f>water!D61</f>
        <v>0</v>
      </c>
      <c r="E80" s="7">
        <f>glucose!D61</f>
        <v>0</v>
      </c>
      <c r="F80" s="7">
        <f>sucrose!D61</f>
        <v>0</v>
      </c>
      <c r="G80" s="7">
        <f>'milk choc'!D61</f>
        <v>0</v>
      </c>
      <c r="H80" s="13">
        <f>'milk chocolate arabinose'!D61</f>
        <v>0</v>
      </c>
      <c r="I80" s="7">
        <f>'gastic milk choc'!D61</f>
        <v>0</v>
      </c>
      <c r="J80" s="7">
        <f>'gastic milk choc arab'!D61</f>
        <v>0</v>
      </c>
      <c r="K80" s="7">
        <f>emulsie!D61</f>
        <v>0</v>
      </c>
      <c r="L80" s="7">
        <f>arabinose!D61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3">
      <c r="A81">
        <v>72</v>
      </c>
      <c r="B81" s="7" t="s">
        <v>115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0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>
        <v>0</v>
      </c>
      <c r="Y81">
        <v>0</v>
      </c>
      <c r="Z81">
        <v>0</v>
      </c>
      <c r="AA81">
        <v>0</v>
      </c>
      <c r="AB81" s="1">
        <v>0</v>
      </c>
      <c r="AC81" s="1">
        <v>0</v>
      </c>
      <c r="AD81" s="1">
        <v>100</v>
      </c>
      <c r="AE81" s="1">
        <v>0</v>
      </c>
      <c r="AF81" s="1">
        <v>0</v>
      </c>
      <c r="AG81" s="1">
        <v>0</v>
      </c>
    </row>
    <row r="82" spans="1:33" x14ac:dyDescent="0.3">
      <c r="A82">
        <v>73</v>
      </c>
      <c r="B82" s="7" t="s">
        <v>116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0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>
        <v>0</v>
      </c>
      <c r="AC82" s="1">
        <v>0</v>
      </c>
      <c r="AD82" s="1">
        <v>0</v>
      </c>
      <c r="AE82" s="1">
        <v>100</v>
      </c>
      <c r="AF82" s="1">
        <v>0</v>
      </c>
      <c r="AG82" s="1">
        <v>0</v>
      </c>
    </row>
    <row r="83" spans="1:33" x14ac:dyDescent="0.3">
      <c r="A83">
        <v>74</v>
      </c>
      <c r="B83" s="7" t="s">
        <v>117</v>
      </c>
      <c r="C83" t="s">
        <v>28</v>
      </c>
      <c r="D83" s="7">
        <v>0</v>
      </c>
      <c r="E83" s="7">
        <v>0</v>
      </c>
      <c r="F83">
        <v>0</v>
      </c>
      <c r="G83">
        <v>0</v>
      </c>
      <c r="H83" s="20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100</v>
      </c>
      <c r="AG83" s="1">
        <v>0</v>
      </c>
    </row>
    <row r="84" spans="1:33" x14ac:dyDescent="0.3">
      <c r="A84" s="7">
        <v>78</v>
      </c>
      <c r="B84" s="7" t="s">
        <v>49</v>
      </c>
      <c r="C84" s="7" t="s">
        <v>28</v>
      </c>
      <c r="D84" s="7">
        <f>water!D62</f>
        <v>0</v>
      </c>
      <c r="E84" s="7">
        <f>glucose!D62</f>
        <v>0</v>
      </c>
      <c r="F84" s="7">
        <f>sucrose!D62</f>
        <v>0</v>
      </c>
      <c r="G84" s="7">
        <f>'milk choc'!D62</f>
        <v>0</v>
      </c>
      <c r="H84" s="13">
        <f>'milk chocolate arabinose'!D62</f>
        <v>0</v>
      </c>
      <c r="I84" s="7">
        <f>'gastic milk choc'!D62</f>
        <v>0</v>
      </c>
      <c r="J84" s="7">
        <f>'gastic milk choc arab'!D62</f>
        <v>0</v>
      </c>
      <c r="K84" s="7">
        <f>emulsie!D62</f>
        <v>0</v>
      </c>
      <c r="L84" s="7">
        <f>arabinose!D62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3">
      <c r="A85" s="7">
        <v>79</v>
      </c>
      <c r="B85" s="7" t="s">
        <v>50</v>
      </c>
      <c r="C85" s="7" t="s">
        <v>28</v>
      </c>
      <c r="D85" s="7">
        <f>water!D63</f>
        <v>0</v>
      </c>
      <c r="E85" s="7">
        <f>glucose!D63</f>
        <v>0</v>
      </c>
      <c r="F85" s="7">
        <f>sucrose!D63</f>
        <v>0</v>
      </c>
      <c r="G85" s="7">
        <f>'milk choc'!D63</f>
        <v>0</v>
      </c>
      <c r="H85" s="13">
        <f>'milk chocolate arabinose'!D63</f>
        <v>0</v>
      </c>
      <c r="I85" s="7">
        <f>'gastic milk choc'!D63</f>
        <v>0</v>
      </c>
      <c r="J85" s="7">
        <f>'gastic milk choc arab'!D63</f>
        <v>0</v>
      </c>
      <c r="K85" s="7">
        <f>emulsie!D63</f>
        <v>0</v>
      </c>
      <c r="L85" s="7">
        <f>arabinose!D63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3">
      <c r="A86" s="7">
        <v>80</v>
      </c>
      <c r="B86" s="7" t="s">
        <v>64</v>
      </c>
      <c r="C86" s="7" t="s">
        <v>51</v>
      </c>
      <c r="D86" s="7">
        <f>water!D64</f>
        <v>0</v>
      </c>
      <c r="E86" s="7">
        <f>glucose!D64</f>
        <v>0</v>
      </c>
      <c r="F86" s="7">
        <f>sucrose!D64</f>
        <v>0</v>
      </c>
      <c r="G86" s="7">
        <f>'milk choc'!D64</f>
        <v>0</v>
      </c>
      <c r="H86" s="13">
        <f>'milk chocolate arabinose'!D64</f>
        <v>0</v>
      </c>
      <c r="I86" s="7">
        <f>'gastic milk choc'!D64</f>
        <v>0</v>
      </c>
      <c r="J86" s="7">
        <f>'gastic milk choc arab'!D64</f>
        <v>0</v>
      </c>
      <c r="K86" s="7">
        <f>emulsie!D64</f>
        <v>0</v>
      </c>
      <c r="L86" s="7">
        <f>arabinose!D64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3">
      <c r="A87" s="7">
        <v>0</v>
      </c>
      <c r="D87" s="7">
        <f t="shared" ref="D87:L87" si="0">SUM(D39:D86)</f>
        <v>100</v>
      </c>
      <c r="E87" s="7">
        <f t="shared" si="0"/>
        <v>100</v>
      </c>
      <c r="F87" s="7">
        <f t="shared" si="0"/>
        <v>100</v>
      </c>
      <c r="G87" s="7">
        <f t="shared" si="0"/>
        <v>100.31</v>
      </c>
      <c r="H87" s="7">
        <f t="shared" si="0"/>
        <v>100.41</v>
      </c>
      <c r="I87" s="7">
        <f t="shared" si="0"/>
        <v>99.83</v>
      </c>
      <c r="J87" s="7">
        <f t="shared" si="0"/>
        <v>99.83</v>
      </c>
      <c r="K87" s="7">
        <f t="shared" si="0"/>
        <v>100</v>
      </c>
      <c r="L87" s="7">
        <f t="shared" si="0"/>
        <v>100</v>
      </c>
      <c r="M87" s="7">
        <f>SUM(M39:M86)</f>
        <v>99</v>
      </c>
      <c r="N87" s="7">
        <f t="shared" ref="N87:AB87" si="1">SUM(N39:N86)</f>
        <v>99</v>
      </c>
      <c r="O87" s="7">
        <f t="shared" si="1"/>
        <v>99</v>
      </c>
      <c r="P87">
        <f t="shared" si="1"/>
        <v>98</v>
      </c>
      <c r="Q87">
        <f t="shared" si="1"/>
        <v>98</v>
      </c>
      <c r="R87" s="7">
        <f t="shared" si="1"/>
        <v>132</v>
      </c>
      <c r="S87">
        <f t="shared" ref="S87" si="2">SUM(S39:S86)</f>
        <v>132</v>
      </c>
      <c r="T87">
        <v>132</v>
      </c>
      <c r="U87">
        <f t="shared" ref="U87:AA87" si="3">SUM(U39:U86)</f>
        <v>119</v>
      </c>
      <c r="V87">
        <f t="shared" ref="V87" si="4">SUM(V39:V86)</f>
        <v>119</v>
      </c>
      <c r="W87">
        <v>119</v>
      </c>
      <c r="X87" s="7">
        <f t="shared" si="3"/>
        <v>100</v>
      </c>
      <c r="Y87" s="7">
        <f t="shared" si="3"/>
        <v>100</v>
      </c>
      <c r="Z87" s="7">
        <f t="shared" si="3"/>
        <v>100</v>
      </c>
      <c r="AA87" s="7">
        <f t="shared" si="3"/>
        <v>100</v>
      </c>
      <c r="AB87" s="7">
        <f t="shared" si="1"/>
        <v>100</v>
      </c>
      <c r="AC87" s="7">
        <f>SUM(AC39:AC86)</f>
        <v>100</v>
      </c>
      <c r="AD87" s="7">
        <f>SUM(AD39:AD86)</f>
        <v>100</v>
      </c>
      <c r="AE87" s="7">
        <f>SUM(AE39:AE86)</f>
        <v>100</v>
      </c>
      <c r="AF87" s="7">
        <f>SUM(AF39:AF86)</f>
        <v>100</v>
      </c>
      <c r="AG87" s="7">
        <f t="shared" ref="AG87" si="5">SUM(AG39:AG86)</f>
        <v>100</v>
      </c>
    </row>
    <row r="88" spans="1:33" x14ac:dyDescent="0.3">
      <c r="B88" s="7" t="s">
        <v>88</v>
      </c>
      <c r="C88" s="7" t="s">
        <v>91</v>
      </c>
      <c r="D88" s="7">
        <f>water!D66</f>
        <v>1</v>
      </c>
      <c r="E88" s="7">
        <f>glucose!D66</f>
        <v>1.44</v>
      </c>
      <c r="F88" s="7">
        <f>sucrose!D66</f>
        <v>1.44</v>
      </c>
      <c r="G88" s="7">
        <f>'milk choc'!D66</f>
        <v>1.3</v>
      </c>
      <c r="H88" s="13">
        <f>'milk chocolate arabinose'!D66</f>
        <v>1.3</v>
      </c>
      <c r="I88" s="7">
        <f>'gastic milk choc'!D66</f>
        <v>1.2</v>
      </c>
      <c r="J88" s="7">
        <f>'gastic milk choc arab'!D66</f>
        <v>1.2</v>
      </c>
      <c r="K88" s="7">
        <f>emulsie!D66</f>
        <v>0.95</v>
      </c>
      <c r="L88" s="7">
        <f>arabinose!D66</f>
        <v>1.44</v>
      </c>
      <c r="M88" s="7">
        <v>1.44</v>
      </c>
      <c r="N88" s="7">
        <v>1.44</v>
      </c>
      <c r="O88" s="7">
        <v>1.44</v>
      </c>
      <c r="P88">
        <v>1.4</v>
      </c>
      <c r="Q88">
        <v>1.4</v>
      </c>
      <c r="R88" s="7">
        <v>1.4</v>
      </c>
      <c r="S88">
        <v>1.4</v>
      </c>
      <c r="T88">
        <v>1.4</v>
      </c>
      <c r="U88">
        <v>1.4</v>
      </c>
      <c r="V88">
        <v>1.4</v>
      </c>
      <c r="W88">
        <v>1.4</v>
      </c>
      <c r="X88" s="7">
        <v>1</v>
      </c>
      <c r="Y88" s="7">
        <v>1</v>
      </c>
      <c r="Z88" s="7">
        <v>1</v>
      </c>
      <c r="AA88" s="7">
        <v>1</v>
      </c>
      <c r="AB88" s="8">
        <v>1.4</v>
      </c>
      <c r="AC88" s="1">
        <v>1.4</v>
      </c>
      <c r="AD88" s="1">
        <v>1.4</v>
      </c>
      <c r="AE88" s="1">
        <v>1.4</v>
      </c>
      <c r="AF88" s="1">
        <v>1.4</v>
      </c>
      <c r="AG88" s="21">
        <v>1665</v>
      </c>
    </row>
    <row r="89" spans="1:33" x14ac:dyDescent="0.3">
      <c r="AC89" s="1"/>
      <c r="AD89" s="1"/>
      <c r="AE89" s="1"/>
      <c r="AF89" s="1"/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2023-04-04T16:57:15Z</dcterms:modified>
</cp:coreProperties>
</file>