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6" documentId="8_{E36B676B-4606-493D-8D2C-FA0BEC3D0FEE}" xr6:coauthVersionLast="47" xr6:coauthVersionMax="47" xr10:uidLastSave="{34EC291C-321A-41B8-9933-9AF5B63EEBE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00" i="3" l="1"/>
  <c r="AD100" i="3"/>
  <c r="AC100" i="3"/>
  <c r="V100" i="3"/>
  <c r="S100" i="3"/>
  <c r="AA100" i="3" l="1"/>
  <c r="Z100" i="3"/>
  <c r="Y100" i="3"/>
  <c r="X100" i="3"/>
  <c r="U100" i="3"/>
  <c r="R100" i="3"/>
  <c r="AB100" i="3" l="1"/>
  <c r="Q100" i="3" l="1"/>
  <c r="P100" i="3"/>
  <c r="O100" i="3"/>
  <c r="N100" i="3"/>
  <c r="M100" i="3"/>
  <c r="D73" i="3" l="1"/>
  <c r="E73" i="3"/>
  <c r="F73" i="3"/>
  <c r="G73" i="3"/>
  <c r="H73" i="3"/>
  <c r="I73" i="3"/>
  <c r="J73" i="3"/>
  <c r="K73" i="3"/>
  <c r="L73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101" i="3" l="1"/>
  <c r="L99" i="3"/>
  <c r="L98" i="3"/>
  <c r="L97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69" i="3"/>
  <c r="L68" i="3"/>
  <c r="L67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49" i="3"/>
  <c r="L48" i="3"/>
  <c r="L47" i="3"/>
  <c r="L46" i="3"/>
  <c r="L44" i="3"/>
  <c r="L43" i="3"/>
  <c r="L42" i="3"/>
  <c r="L41" i="3"/>
  <c r="L39" i="3"/>
  <c r="L38" i="3"/>
  <c r="L37" i="3"/>
  <c r="L36" i="3"/>
  <c r="L34" i="3"/>
  <c r="L33" i="3"/>
  <c r="L32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100" i="3" l="1"/>
  <c r="K101" i="3"/>
  <c r="J101" i="3"/>
  <c r="I101" i="3"/>
  <c r="H101" i="3"/>
  <c r="G101" i="3"/>
  <c r="F101" i="3"/>
  <c r="E101" i="3"/>
  <c r="D101" i="3"/>
  <c r="K99" i="3"/>
  <c r="J99" i="3"/>
  <c r="I99" i="3"/>
  <c r="H99" i="3"/>
  <c r="G99" i="3"/>
  <c r="F99" i="3"/>
  <c r="E99" i="3"/>
  <c r="D99" i="3"/>
  <c r="K98" i="3"/>
  <c r="J98" i="3"/>
  <c r="I98" i="3"/>
  <c r="H98" i="3"/>
  <c r="G98" i="3"/>
  <c r="F98" i="3"/>
  <c r="E98" i="3"/>
  <c r="D98" i="3"/>
  <c r="K97" i="3"/>
  <c r="J97" i="3"/>
  <c r="I97" i="3"/>
  <c r="H97" i="3"/>
  <c r="G97" i="3"/>
  <c r="F97" i="3"/>
  <c r="E97" i="3"/>
  <c r="D97" i="3"/>
  <c r="K93" i="3"/>
  <c r="J93" i="3"/>
  <c r="I93" i="3"/>
  <c r="H93" i="3"/>
  <c r="G93" i="3"/>
  <c r="F93" i="3"/>
  <c r="E93" i="3"/>
  <c r="D93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F47" i="3"/>
  <c r="E47" i="3"/>
  <c r="D47" i="3"/>
  <c r="K46" i="3"/>
  <c r="J46" i="3"/>
  <c r="I46" i="3"/>
  <c r="F46" i="3"/>
  <c r="E46" i="3"/>
  <c r="D46" i="3"/>
  <c r="K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F42" i="3"/>
  <c r="E42" i="3"/>
  <c r="D42" i="3"/>
  <c r="K41" i="3"/>
  <c r="J41" i="3"/>
  <c r="I41" i="3"/>
  <c r="G41" i="3"/>
  <c r="F41" i="3"/>
  <c r="E41" i="3"/>
  <c r="D41" i="3"/>
  <c r="K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F37" i="3"/>
  <c r="E37" i="3"/>
  <c r="D37" i="3"/>
  <c r="K36" i="3"/>
  <c r="J36" i="3"/>
  <c r="I36" i="3"/>
  <c r="G36" i="3"/>
  <c r="F36" i="3"/>
  <c r="E36" i="3"/>
  <c r="D36" i="3"/>
  <c r="K35" i="3"/>
  <c r="K34" i="3"/>
  <c r="H34" i="3"/>
  <c r="G34" i="3"/>
  <c r="F34" i="3"/>
  <c r="E34" i="3"/>
  <c r="D34" i="3"/>
  <c r="K33" i="3"/>
  <c r="H33" i="3"/>
  <c r="G33" i="3"/>
  <c r="D33" i="3"/>
  <c r="I100" i="3" l="1"/>
  <c r="D100" i="3"/>
  <c r="E100" i="3"/>
  <c r="G100" i="3"/>
  <c r="F100" i="3"/>
  <c r="H100" i="3"/>
  <c r="J100" i="3"/>
  <c r="K100" i="3"/>
  <c r="K32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32" i="3" l="1"/>
  <c r="I32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32" i="3" l="1"/>
  <c r="G32" i="3"/>
  <c r="F32" i="3"/>
  <c r="E32" i="3"/>
  <c r="D32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<sst xmlns="http://schemas.openxmlformats.org/spreadsheetml/2006/main" count="1113" uniqueCount="115">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</sst>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tabSelected="1" topLeftCell="A6" workbookViewId="0">
      <selection activeCell="C27" sqref="C2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1000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1001</v>
      </c>
      <c r="B8" s="9">
        <v>25</v>
      </c>
      <c r="C8">
        <v>6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1002</v>
      </c>
      <c r="B9" s="9">
        <v>26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14">
        <v>2000</v>
      </c>
      <c r="B10" s="9">
        <v>18</v>
      </c>
      <c r="C10">
        <v>300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G10" s="10"/>
      <c r="AH10" s="11"/>
      <c r="AI10" s="11"/>
    </row>
    <row r="11" spans="1:38" x14ac:dyDescent="0.3">
      <c r="A11" s="14">
        <v>2001</v>
      </c>
      <c r="B11" s="9">
        <v>25</v>
      </c>
      <c r="C11">
        <v>6</v>
      </c>
      <c r="D11">
        <v>1</v>
      </c>
      <c r="E11" s="21">
        <v>64</v>
      </c>
      <c r="R11"/>
      <c r="S11"/>
      <c r="T11"/>
      <c r="U11"/>
      <c r="V11"/>
      <c r="W11"/>
      <c r="X11"/>
      <c r="Y11"/>
      <c r="AA11"/>
      <c r="AG11" s="10"/>
      <c r="AH11" s="11"/>
      <c r="AI11" s="11"/>
    </row>
    <row r="12" spans="1:38" x14ac:dyDescent="0.3">
      <c r="A12" s="14">
        <v>2002</v>
      </c>
      <c r="B12" s="9">
        <v>26</v>
      </c>
      <c r="C12">
        <v>0</v>
      </c>
      <c r="D12">
        <v>1</v>
      </c>
      <c r="E12" s="21">
        <v>64</v>
      </c>
      <c r="R12"/>
      <c r="S12"/>
      <c r="T12"/>
      <c r="U12"/>
      <c r="V12"/>
      <c r="W12"/>
      <c r="X12"/>
      <c r="Y12"/>
      <c r="AA12"/>
      <c r="AG12" s="10"/>
      <c r="AH12" s="11"/>
      <c r="AI12" s="11"/>
    </row>
    <row r="13" spans="1:38" x14ac:dyDescent="0.3">
      <c r="A13" s="14">
        <v>3000</v>
      </c>
      <c r="B13" s="9">
        <v>18</v>
      </c>
      <c r="C13">
        <v>300</v>
      </c>
      <c r="D13">
        <v>1</v>
      </c>
      <c r="E13" s="21">
        <v>64</v>
      </c>
      <c r="R13"/>
      <c r="S13"/>
      <c r="T13"/>
      <c r="U13"/>
      <c r="V13"/>
      <c r="W13"/>
      <c r="X13"/>
      <c r="Y13"/>
      <c r="AA13"/>
      <c r="AG13" s="10"/>
      <c r="AH13" s="11"/>
      <c r="AI13" s="11"/>
    </row>
    <row r="14" spans="1:38" x14ac:dyDescent="0.3">
      <c r="A14" s="14">
        <v>3001</v>
      </c>
      <c r="B14" s="9">
        <v>25</v>
      </c>
      <c r="C14">
        <v>6</v>
      </c>
      <c r="D14">
        <v>1</v>
      </c>
      <c r="E14" s="21">
        <v>64</v>
      </c>
      <c r="R14"/>
      <c r="S14"/>
      <c r="T14"/>
      <c r="U14"/>
      <c r="V14"/>
      <c r="W14"/>
      <c r="X14"/>
      <c r="Y14"/>
      <c r="AA14"/>
      <c r="AG14" s="10"/>
      <c r="AH14" s="11"/>
      <c r="AI14" s="11"/>
    </row>
    <row r="15" spans="1:38" x14ac:dyDescent="0.3">
      <c r="A15" s="14">
        <v>3002</v>
      </c>
      <c r="B15" s="9">
        <v>26</v>
      </c>
      <c r="C15">
        <v>0</v>
      </c>
      <c r="D15">
        <v>1</v>
      </c>
      <c r="E15" s="21">
        <v>64</v>
      </c>
      <c r="R15"/>
      <c r="S15"/>
      <c r="T15"/>
      <c r="U15"/>
      <c r="V15"/>
      <c r="W15"/>
      <c r="X15"/>
      <c r="Y15"/>
      <c r="AA15"/>
      <c r="AG15" s="10"/>
      <c r="AH15" s="11"/>
      <c r="AI15" s="11"/>
    </row>
    <row r="16" spans="1:38" x14ac:dyDescent="0.3">
      <c r="A16" s="14">
        <v>4000</v>
      </c>
      <c r="B16" s="9">
        <v>18</v>
      </c>
      <c r="C16">
        <v>300</v>
      </c>
      <c r="D16">
        <v>1</v>
      </c>
      <c r="E16" s="21">
        <v>64</v>
      </c>
      <c r="R16"/>
      <c r="S16"/>
      <c r="T16"/>
      <c r="U16"/>
      <c r="V16"/>
      <c r="W16"/>
      <c r="X16"/>
      <c r="Y16"/>
      <c r="AA16"/>
      <c r="AG16" s="10"/>
      <c r="AH16" s="11"/>
      <c r="AI16" s="11"/>
    </row>
    <row r="17" spans="1:35" x14ac:dyDescent="0.3">
      <c r="A17" s="14">
        <v>4001</v>
      </c>
      <c r="B17" s="9">
        <v>25</v>
      </c>
      <c r="C17">
        <v>6</v>
      </c>
      <c r="D17">
        <v>1</v>
      </c>
      <c r="E17" s="21">
        <v>64</v>
      </c>
      <c r="R17"/>
      <c r="S17"/>
      <c r="T17"/>
      <c r="U17"/>
      <c r="V17"/>
      <c r="W17"/>
      <c r="X17"/>
      <c r="Y17"/>
      <c r="AA17"/>
      <c r="AG17" s="10"/>
      <c r="AH17" s="11"/>
      <c r="AI17" s="11"/>
    </row>
    <row r="18" spans="1:35" x14ac:dyDescent="0.3">
      <c r="A18" s="14">
        <v>4002</v>
      </c>
      <c r="B18" s="9">
        <v>26</v>
      </c>
      <c r="C18">
        <v>0</v>
      </c>
      <c r="D18">
        <v>1</v>
      </c>
      <c r="E18" s="21">
        <v>64</v>
      </c>
      <c r="R18"/>
      <c r="S18"/>
      <c r="T18"/>
      <c r="U18"/>
      <c r="V18"/>
      <c r="W18"/>
      <c r="X18"/>
      <c r="Y18"/>
      <c r="AA18"/>
      <c r="AG18" s="10"/>
      <c r="AH18" s="11"/>
      <c r="AI18" s="11"/>
    </row>
    <row r="19" spans="1:35" x14ac:dyDescent="0.3">
      <c r="A19" s="14">
        <v>5000</v>
      </c>
      <c r="B19" s="9">
        <v>18</v>
      </c>
      <c r="C19">
        <v>300</v>
      </c>
      <c r="D19">
        <v>1</v>
      </c>
      <c r="E19" s="21">
        <v>64</v>
      </c>
      <c r="R19"/>
      <c r="S19"/>
      <c r="T19"/>
      <c r="U19"/>
      <c r="V19"/>
      <c r="W19"/>
      <c r="X19"/>
      <c r="Y19"/>
      <c r="AA19"/>
      <c r="AG19" s="10"/>
      <c r="AH19" s="11"/>
      <c r="AI19" s="11"/>
    </row>
    <row r="20" spans="1:35" x14ac:dyDescent="0.3">
      <c r="A20" s="14">
        <v>5001</v>
      </c>
      <c r="B20" s="9">
        <v>25</v>
      </c>
      <c r="C20">
        <v>6</v>
      </c>
      <c r="D20">
        <v>1</v>
      </c>
      <c r="E20" s="21">
        <v>64</v>
      </c>
      <c r="R20"/>
      <c r="S20"/>
      <c r="T20"/>
      <c r="U20"/>
      <c r="V20"/>
      <c r="W20"/>
      <c r="X20"/>
      <c r="Y20"/>
      <c r="AA20"/>
      <c r="AG20" s="10"/>
      <c r="AH20" s="11"/>
      <c r="AI20" s="11"/>
    </row>
    <row r="21" spans="1:35" x14ac:dyDescent="0.3">
      <c r="A21" s="14">
        <v>5002</v>
      </c>
      <c r="B21" s="9">
        <v>26</v>
      </c>
      <c r="C21">
        <v>0</v>
      </c>
      <c r="D21">
        <v>1</v>
      </c>
      <c r="E21" s="21">
        <v>64</v>
      </c>
      <c r="R21"/>
      <c r="S21"/>
      <c r="T21"/>
      <c r="U21"/>
      <c r="V21"/>
      <c r="W21"/>
      <c r="X21"/>
      <c r="Y21"/>
      <c r="AA21"/>
      <c r="AG21" s="10"/>
      <c r="AH21" s="11"/>
      <c r="AI21" s="11"/>
    </row>
    <row r="22" spans="1:35" x14ac:dyDescent="0.3">
      <c r="A22" s="14">
        <v>6000</v>
      </c>
      <c r="B22" s="9">
        <v>18</v>
      </c>
      <c r="C22">
        <v>300</v>
      </c>
      <c r="D22">
        <v>1</v>
      </c>
      <c r="E22" s="21">
        <v>64</v>
      </c>
      <c r="R22"/>
      <c r="S22"/>
      <c r="T22"/>
      <c r="U22"/>
      <c r="V22"/>
      <c r="W22"/>
      <c r="X22"/>
      <c r="Y22"/>
      <c r="AA22"/>
      <c r="AG22" s="10"/>
      <c r="AH22" s="11"/>
      <c r="AI22" s="11"/>
    </row>
    <row r="23" spans="1:35" x14ac:dyDescent="0.3">
      <c r="A23" s="14">
        <v>6001</v>
      </c>
      <c r="B23" s="9">
        <v>25</v>
      </c>
      <c r="C23">
        <v>6</v>
      </c>
      <c r="D23">
        <v>1</v>
      </c>
      <c r="E23" s="21">
        <v>64</v>
      </c>
      <c r="R23"/>
      <c r="S23"/>
      <c r="T23"/>
      <c r="U23"/>
      <c r="V23"/>
      <c r="W23"/>
      <c r="X23"/>
      <c r="Y23"/>
      <c r="AA23"/>
      <c r="AG23" s="10"/>
      <c r="AH23" s="11"/>
      <c r="AI23" s="11"/>
    </row>
    <row r="24" spans="1:35" x14ac:dyDescent="0.3">
      <c r="A24" s="14">
        <v>6002</v>
      </c>
      <c r="B24" s="9">
        <v>26</v>
      </c>
      <c r="C24">
        <v>0</v>
      </c>
      <c r="D24">
        <v>1</v>
      </c>
      <c r="E24" s="21">
        <v>64</v>
      </c>
      <c r="R24"/>
      <c r="S24"/>
      <c r="T24"/>
      <c r="U24"/>
      <c r="V24"/>
      <c r="W24"/>
      <c r="X24"/>
      <c r="Y24"/>
      <c r="AA24"/>
      <c r="AG24" s="10"/>
      <c r="AH24" s="11"/>
      <c r="AI24" s="11"/>
    </row>
    <row r="25" spans="1:35" x14ac:dyDescent="0.3">
      <c r="A25" s="14">
        <v>7000</v>
      </c>
      <c r="B25" s="9">
        <v>18</v>
      </c>
      <c r="C25">
        <v>300</v>
      </c>
      <c r="D25">
        <v>1</v>
      </c>
      <c r="E25" s="21">
        <v>64</v>
      </c>
      <c r="R25"/>
      <c r="S25"/>
      <c r="T25"/>
      <c r="U25"/>
      <c r="V25"/>
      <c r="W25"/>
      <c r="X25"/>
      <c r="Y25"/>
      <c r="AA25"/>
      <c r="AG25" s="10"/>
      <c r="AH25" s="11"/>
      <c r="AI25" s="11"/>
    </row>
    <row r="26" spans="1:35" x14ac:dyDescent="0.3">
      <c r="A26" s="14">
        <v>7001</v>
      </c>
      <c r="B26" s="9">
        <v>25</v>
      </c>
      <c r="C26">
        <v>6</v>
      </c>
      <c r="D26">
        <v>1</v>
      </c>
      <c r="E26" s="21">
        <v>64</v>
      </c>
      <c r="R26"/>
      <c r="S26"/>
      <c r="T26"/>
      <c r="U26"/>
      <c r="V26"/>
      <c r="W26"/>
      <c r="X26"/>
      <c r="Y26"/>
      <c r="AA26"/>
      <c r="AG26" s="10"/>
      <c r="AH26" s="11"/>
      <c r="AI26" s="11"/>
    </row>
    <row r="27" spans="1:35" x14ac:dyDescent="0.3">
      <c r="A27" s="14">
        <v>7002</v>
      </c>
      <c r="B27" s="9">
        <v>26</v>
      </c>
      <c r="C27">
        <v>0</v>
      </c>
      <c r="D27">
        <v>1</v>
      </c>
      <c r="E27" s="21">
        <v>64</v>
      </c>
      <c r="R27"/>
      <c r="S27"/>
      <c r="T27"/>
      <c r="U27"/>
      <c r="V27"/>
      <c r="W27"/>
      <c r="X27"/>
      <c r="Y27"/>
      <c r="AA27"/>
      <c r="AG27" s="10"/>
      <c r="AH27" s="11"/>
      <c r="AI27" s="11"/>
    </row>
    <row r="28" spans="1:35" x14ac:dyDescent="0.3">
      <c r="A28" s="9">
        <v>9999</v>
      </c>
      <c r="B28" s="8"/>
    </row>
    <row r="29" spans="1:35" x14ac:dyDescent="0.3">
      <c r="B29" s="8"/>
      <c r="C29" s="8"/>
    </row>
    <row r="30" spans="1:35" s="8" customFormat="1" ht="18" x14ac:dyDescent="0.35">
      <c r="A30" s="12" t="s">
        <v>72</v>
      </c>
      <c r="C30" s="8" t="s">
        <v>68</v>
      </c>
      <c r="D30" s="12">
        <v>1</v>
      </c>
      <c r="E30" s="12">
        <v>2</v>
      </c>
      <c r="F30" s="12">
        <v>3</v>
      </c>
      <c r="G30" s="12">
        <v>4</v>
      </c>
      <c r="H30" s="12">
        <v>5</v>
      </c>
      <c r="I30" s="12">
        <v>6</v>
      </c>
      <c r="J30" s="12">
        <v>7</v>
      </c>
      <c r="K30" s="12">
        <v>8</v>
      </c>
      <c r="L30" s="12">
        <v>9</v>
      </c>
      <c r="M30" s="12">
        <v>10</v>
      </c>
      <c r="N30" s="12">
        <v>11</v>
      </c>
      <c r="O30" s="12">
        <v>12</v>
      </c>
      <c r="P30" s="12">
        <v>13</v>
      </c>
      <c r="Q30" s="12">
        <v>14</v>
      </c>
      <c r="R30" s="12">
        <v>15</v>
      </c>
      <c r="S30" s="12">
        <v>16</v>
      </c>
      <c r="T30" s="12">
        <v>17</v>
      </c>
      <c r="U30" s="12">
        <v>18</v>
      </c>
      <c r="V30" s="12">
        <v>19</v>
      </c>
      <c r="W30" s="12">
        <v>20</v>
      </c>
      <c r="X30" s="12">
        <v>21</v>
      </c>
      <c r="Y30" s="12">
        <v>22</v>
      </c>
      <c r="Z30" s="12">
        <v>23</v>
      </c>
      <c r="AA30" s="12">
        <v>24</v>
      </c>
      <c r="AB30" s="12">
        <v>25</v>
      </c>
      <c r="AC30" s="12">
        <v>26</v>
      </c>
      <c r="AD30" s="12">
        <v>27</v>
      </c>
      <c r="AE30" s="12">
        <v>28</v>
      </c>
      <c r="AF30" s="12">
        <v>9999</v>
      </c>
    </row>
    <row r="31" spans="1:35" x14ac:dyDescent="0.3">
      <c r="A31" s="8" t="s">
        <v>75</v>
      </c>
      <c r="B31" s="8"/>
      <c r="C31" s="8"/>
      <c r="D31" s="11" t="s">
        <v>8</v>
      </c>
      <c r="E31" s="11" t="s">
        <v>2</v>
      </c>
      <c r="F31" s="11" t="s">
        <v>4</v>
      </c>
      <c r="G31" s="11" t="s">
        <v>73</v>
      </c>
      <c r="H31" s="11" t="s">
        <v>74</v>
      </c>
      <c r="I31" s="10" t="s">
        <v>84</v>
      </c>
      <c r="J31" s="10" t="s">
        <v>85</v>
      </c>
      <c r="K31" s="10" t="s">
        <v>87</v>
      </c>
      <c r="L31" s="11" t="s">
        <v>38</v>
      </c>
      <c r="M31" s="8" t="s">
        <v>94</v>
      </c>
      <c r="N31" s="8" t="s">
        <v>95</v>
      </c>
      <c r="O31" s="8" t="s">
        <v>97</v>
      </c>
      <c r="P31" s="8" t="s">
        <v>99</v>
      </c>
      <c r="Q31" s="8" t="s">
        <v>98</v>
      </c>
      <c r="R31" s="17" t="s">
        <v>105</v>
      </c>
      <c r="S31" s="18" t="s">
        <v>107</v>
      </c>
      <c r="T31" s="18" t="s">
        <v>108</v>
      </c>
      <c r="U31" s="19" t="s">
        <v>106</v>
      </c>
      <c r="V31" s="19" t="s">
        <v>109</v>
      </c>
      <c r="W31" s="19" t="s">
        <v>110</v>
      </c>
      <c r="X31" t="s">
        <v>8</v>
      </c>
      <c r="Y31" t="s">
        <v>8</v>
      </c>
      <c r="Z31" t="s">
        <v>8</v>
      </c>
      <c r="AA31" t="s">
        <v>8</v>
      </c>
      <c r="AB31" s="1" t="s">
        <v>6</v>
      </c>
      <c r="AC31" s="1" t="s">
        <v>112</v>
      </c>
      <c r="AD31" s="1" t="s">
        <v>113</v>
      </c>
      <c r="AE31" s="1" t="s">
        <v>114</v>
      </c>
    </row>
    <row r="32" spans="1:35" x14ac:dyDescent="0.3">
      <c r="A32" s="7" t="s">
        <v>1</v>
      </c>
      <c r="C32" s="7" t="s">
        <v>43</v>
      </c>
      <c r="D32" s="7">
        <f>water!D4</f>
        <v>7</v>
      </c>
      <c r="E32" s="7">
        <f>glucose!D4</f>
        <v>7</v>
      </c>
      <c r="F32" s="7">
        <f>sucrose!D4</f>
        <v>7</v>
      </c>
      <c r="G32" s="7">
        <f>'milk choc'!D4</f>
        <v>7</v>
      </c>
      <c r="H32" s="13">
        <f>'milk chocolate arabinose'!D4</f>
        <v>7</v>
      </c>
      <c r="I32" s="7">
        <f>'gastic milk choc'!D4</f>
        <v>7</v>
      </c>
      <c r="J32" s="7">
        <f>'gastic milk choc arab'!D4</f>
        <v>7</v>
      </c>
      <c r="K32" s="7">
        <f>emulsie!D4</f>
        <v>7</v>
      </c>
      <c r="L32" s="7">
        <f>arabinose!D4</f>
        <v>7</v>
      </c>
      <c r="M32" s="7">
        <v>7</v>
      </c>
      <c r="N32" s="7">
        <v>7</v>
      </c>
      <c r="O32" s="7">
        <v>7</v>
      </c>
      <c r="P32">
        <v>7</v>
      </c>
      <c r="Q32">
        <v>7</v>
      </c>
      <c r="R32" s="17">
        <v>7</v>
      </c>
      <c r="S32" s="17">
        <v>7</v>
      </c>
      <c r="T32" s="17">
        <v>7</v>
      </c>
      <c r="U32" s="19">
        <v>7</v>
      </c>
      <c r="V32" s="19">
        <v>7</v>
      </c>
      <c r="W32" s="19">
        <v>7</v>
      </c>
      <c r="X32">
        <v>0</v>
      </c>
      <c r="Y32">
        <v>0</v>
      </c>
      <c r="Z32">
        <v>0</v>
      </c>
      <c r="AA32">
        <v>0</v>
      </c>
      <c r="AB32" s="8">
        <v>7</v>
      </c>
      <c r="AC32" s="8">
        <v>7</v>
      </c>
      <c r="AD32" s="8">
        <v>7</v>
      </c>
      <c r="AE32" s="8">
        <v>7</v>
      </c>
    </row>
    <row r="33" spans="1:32" x14ac:dyDescent="0.3">
      <c r="A33" s="7" t="s">
        <v>42</v>
      </c>
      <c r="C33" s="7" t="s">
        <v>104</v>
      </c>
      <c r="D33" s="7">
        <f>water!D5</f>
        <v>0</v>
      </c>
      <c r="E33" s="7">
        <v>1</v>
      </c>
      <c r="F33" s="7">
        <v>1</v>
      </c>
      <c r="G33" s="7">
        <f>'milk choc'!D5</f>
        <v>1</v>
      </c>
      <c r="H33" s="13">
        <f>'milk chocolate arabinose'!D5</f>
        <v>1</v>
      </c>
      <c r="I33" s="7">
        <v>0</v>
      </c>
      <c r="J33" s="7">
        <v>0</v>
      </c>
      <c r="K33" s="7">
        <f>emulsie!D5</f>
        <v>0</v>
      </c>
      <c r="L33" s="7">
        <f>arabinose!D5</f>
        <v>1</v>
      </c>
      <c r="M33" s="7">
        <v>2</v>
      </c>
      <c r="N33" s="7">
        <v>1</v>
      </c>
      <c r="O33" s="7">
        <v>1</v>
      </c>
      <c r="P33">
        <v>1</v>
      </c>
      <c r="Q33">
        <v>1</v>
      </c>
      <c r="R33" s="17">
        <v>20</v>
      </c>
      <c r="S33" s="17">
        <v>5</v>
      </c>
      <c r="T33" s="17">
        <v>1</v>
      </c>
      <c r="U33" s="19">
        <v>20</v>
      </c>
      <c r="V33" s="19">
        <v>5</v>
      </c>
      <c r="W33" s="19">
        <v>1</v>
      </c>
      <c r="X33">
        <v>0</v>
      </c>
      <c r="Y33">
        <v>0</v>
      </c>
      <c r="Z33">
        <v>0</v>
      </c>
      <c r="AA33">
        <v>0</v>
      </c>
      <c r="AB33" s="8">
        <v>1</v>
      </c>
      <c r="AC33" s="8">
        <v>0</v>
      </c>
      <c r="AD33" s="8">
        <v>0</v>
      </c>
      <c r="AE33" s="8">
        <v>0</v>
      </c>
    </row>
    <row r="34" spans="1:32" x14ac:dyDescent="0.3">
      <c r="A34" s="7" t="s">
        <v>44</v>
      </c>
      <c r="C34" s="7" t="s">
        <v>45</v>
      </c>
      <c r="D34" s="7">
        <f>water!D6</f>
        <v>1</v>
      </c>
      <c r="E34" s="7">
        <f>glucose!D6</f>
        <v>1</v>
      </c>
      <c r="F34" s="7">
        <f>sucrose!D6</f>
        <v>1</v>
      </c>
      <c r="G34" s="7">
        <f>'milk choc'!D6</f>
        <v>1</v>
      </c>
      <c r="H34" s="13">
        <f>'milk chocolate arabinose'!D6</f>
        <v>1</v>
      </c>
      <c r="I34" s="7">
        <v>1000</v>
      </c>
      <c r="J34" s="7">
        <v>1000</v>
      </c>
      <c r="K34" s="7">
        <f>emulsie!D6</f>
        <v>1</v>
      </c>
      <c r="L34" s="7">
        <f>arabinose!D6</f>
        <v>1</v>
      </c>
      <c r="M34" s="7">
        <v>1000</v>
      </c>
      <c r="N34" s="7">
        <v>1</v>
      </c>
      <c r="O34" s="7">
        <v>1</v>
      </c>
      <c r="P34">
        <v>10000</v>
      </c>
      <c r="Q34">
        <v>10000</v>
      </c>
      <c r="R34" s="17">
        <v>1000</v>
      </c>
      <c r="S34" s="17">
        <v>10</v>
      </c>
      <c r="T34" s="17">
        <v>10</v>
      </c>
      <c r="U34" s="19">
        <v>1000</v>
      </c>
      <c r="V34" s="19">
        <v>10</v>
      </c>
      <c r="W34" s="19">
        <v>10</v>
      </c>
      <c r="X34">
        <v>0</v>
      </c>
      <c r="Y34">
        <v>0</v>
      </c>
      <c r="Z34">
        <v>0</v>
      </c>
      <c r="AA34">
        <v>0</v>
      </c>
      <c r="AB34" s="8">
        <v>1</v>
      </c>
      <c r="AC34" s="8">
        <v>0</v>
      </c>
      <c r="AD34" s="8">
        <v>0</v>
      </c>
      <c r="AE34" s="8">
        <v>0</v>
      </c>
    </row>
    <row r="35" spans="1:32" s="1" customFormat="1" x14ac:dyDescent="0.3">
      <c r="A35" s="1" t="s">
        <v>34</v>
      </c>
      <c r="C35" s="1" t="s">
        <v>27</v>
      </c>
      <c r="D35" s="1">
        <v>0.1</v>
      </c>
      <c r="E35" s="1">
        <v>0.1</v>
      </c>
      <c r="F35" s="1">
        <v>0.1</v>
      </c>
      <c r="G35" s="1">
        <v>1</v>
      </c>
      <c r="H35" s="15">
        <v>1</v>
      </c>
      <c r="I35" s="1">
        <v>5</v>
      </c>
      <c r="J35" s="1">
        <v>5</v>
      </c>
      <c r="K35" s="1">
        <f>emulsie!D7</f>
        <v>1</v>
      </c>
      <c r="L35" s="1">
        <v>0.1</v>
      </c>
      <c r="M35" s="1">
        <v>10</v>
      </c>
      <c r="N35" s="1">
        <v>50</v>
      </c>
      <c r="O35" s="1">
        <v>1</v>
      </c>
      <c r="P35" s="1">
        <v>10</v>
      </c>
      <c r="Q35" s="1">
        <v>20</v>
      </c>
      <c r="R35" s="18">
        <v>0.5</v>
      </c>
      <c r="S35" s="18">
        <v>50</v>
      </c>
      <c r="T35" s="18">
        <v>50</v>
      </c>
      <c r="U35" s="20">
        <v>0.5</v>
      </c>
      <c r="V35" s="20">
        <v>50</v>
      </c>
      <c r="W35" s="20">
        <v>50</v>
      </c>
      <c r="X35" s="1">
        <v>0.1</v>
      </c>
      <c r="Y35" s="1">
        <v>0.1</v>
      </c>
      <c r="Z35" s="1">
        <v>0.1</v>
      </c>
      <c r="AA35" s="1">
        <v>0.1</v>
      </c>
      <c r="AB35" s="1">
        <v>0.1</v>
      </c>
      <c r="AC35" s="1">
        <v>0.1</v>
      </c>
      <c r="AD35" s="1">
        <v>0.1</v>
      </c>
      <c r="AE35" s="1">
        <v>0.1</v>
      </c>
    </row>
    <row r="36" spans="1:32" x14ac:dyDescent="0.3">
      <c r="C36" s="7" t="s">
        <v>80</v>
      </c>
      <c r="D36" s="7">
        <f>water!D8</f>
        <v>0</v>
      </c>
      <c r="E36" s="7">
        <f>glucose!D8</f>
        <v>0</v>
      </c>
      <c r="F36" s="7">
        <f>sucrose!D8</f>
        <v>0</v>
      </c>
      <c r="G36" s="7">
        <f>'milk choc'!D8</f>
        <v>6</v>
      </c>
      <c r="H36" s="13">
        <v>7</v>
      </c>
      <c r="I36" s="7">
        <f>'gastic milk choc'!D8</f>
        <v>0</v>
      </c>
      <c r="J36" s="7">
        <f>'gastic milk choc arab'!D8</f>
        <v>0</v>
      </c>
      <c r="K36" s="7">
        <f>emulsie!D8</f>
        <v>0</v>
      </c>
      <c r="L36" s="7">
        <f>arabinose!D8</f>
        <v>0</v>
      </c>
      <c r="M36" s="7">
        <v>0</v>
      </c>
      <c r="N36" s="7">
        <v>0</v>
      </c>
      <c r="O36" s="7">
        <v>0</v>
      </c>
      <c r="P36">
        <v>10</v>
      </c>
      <c r="Q36">
        <v>11</v>
      </c>
      <c r="R36" s="17">
        <v>16</v>
      </c>
      <c r="S36" s="17">
        <v>17</v>
      </c>
      <c r="T36" s="17">
        <v>0</v>
      </c>
      <c r="U36" s="19">
        <v>19</v>
      </c>
      <c r="V36" s="19">
        <v>20</v>
      </c>
      <c r="W36" s="19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  <c r="AF36" s="11"/>
    </row>
    <row r="37" spans="1:32" x14ac:dyDescent="0.3">
      <c r="C37" s="7" t="s">
        <v>82</v>
      </c>
      <c r="D37" s="7">
        <f>water!D9</f>
        <v>0</v>
      </c>
      <c r="E37" s="7">
        <f>glucose!D9</f>
        <v>0</v>
      </c>
      <c r="F37" s="7">
        <f>sucrose!D9</f>
        <v>0</v>
      </c>
      <c r="G37" s="7">
        <v>95</v>
      </c>
      <c r="H37" s="13">
        <v>95</v>
      </c>
      <c r="I37" s="7">
        <f>'gastic milk choc'!D9</f>
        <v>0</v>
      </c>
      <c r="J37" s="7">
        <f>'gastic milk choc arab'!D9</f>
        <v>0</v>
      </c>
      <c r="K37" s="7">
        <f>emulsie!D9</f>
        <v>0</v>
      </c>
      <c r="L37" s="7">
        <f>arabinose!D9</f>
        <v>0</v>
      </c>
      <c r="M37" s="7">
        <v>0</v>
      </c>
      <c r="N37" s="7">
        <v>0</v>
      </c>
      <c r="O37" s="7">
        <v>0</v>
      </c>
      <c r="P37">
        <v>50</v>
      </c>
      <c r="Q37">
        <v>100</v>
      </c>
      <c r="R37" s="17">
        <v>60</v>
      </c>
      <c r="S37" s="17">
        <v>100</v>
      </c>
      <c r="T37" s="17">
        <v>0</v>
      </c>
      <c r="U37" s="19">
        <v>70</v>
      </c>
      <c r="V37" s="19">
        <v>100</v>
      </c>
      <c r="W37" s="19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11"/>
    </row>
    <row r="38" spans="1:32" x14ac:dyDescent="0.3">
      <c r="C38" s="7" t="s">
        <v>81</v>
      </c>
      <c r="D38" s="7">
        <f>water!D10</f>
        <v>0</v>
      </c>
      <c r="E38" s="7">
        <f>glucose!D10</f>
        <v>0</v>
      </c>
      <c r="F38" s="7">
        <f>sucrose!D10</f>
        <v>0</v>
      </c>
      <c r="G38" s="7">
        <f>'milk choc'!D10</f>
        <v>0</v>
      </c>
      <c r="H38" s="13">
        <f>'milk chocolate arabinose'!D10</f>
        <v>0</v>
      </c>
      <c r="I38" s="7">
        <f>'gastic milk choc'!D10</f>
        <v>0</v>
      </c>
      <c r="J38" s="7">
        <f>'gastic milk choc arab'!D10</f>
        <v>0</v>
      </c>
      <c r="K38" s="7">
        <f>emulsie!D10</f>
        <v>0</v>
      </c>
      <c r="L38" s="7">
        <f>arabinose!D10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17">
        <v>0</v>
      </c>
      <c r="S38" s="17">
        <v>0</v>
      </c>
      <c r="T38" s="17">
        <v>0</v>
      </c>
      <c r="U38" s="19">
        <v>0</v>
      </c>
      <c r="V38" s="19">
        <v>0</v>
      </c>
      <c r="W38" s="19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11"/>
    </row>
    <row r="39" spans="1:32" x14ac:dyDescent="0.3">
      <c r="C39" s="7" t="s">
        <v>82</v>
      </c>
      <c r="D39" s="7">
        <f>water!D11</f>
        <v>0</v>
      </c>
      <c r="E39" s="7">
        <f>glucose!D11</f>
        <v>0</v>
      </c>
      <c r="F39" s="7">
        <f>sucrose!D11</f>
        <v>0</v>
      </c>
      <c r="G39" s="7">
        <f>'milk choc'!D11</f>
        <v>0</v>
      </c>
      <c r="H39" s="13">
        <f>'milk chocolate arabinose'!D11</f>
        <v>0</v>
      </c>
      <c r="I39" s="7">
        <f>'gastic milk choc'!D11</f>
        <v>0</v>
      </c>
      <c r="J39" s="7">
        <f>'gastic milk choc arab'!D11</f>
        <v>0</v>
      </c>
      <c r="K39" s="7">
        <f>emulsie!D11</f>
        <v>0</v>
      </c>
      <c r="L39" s="7">
        <f>arabinose!D11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17">
        <v>0</v>
      </c>
      <c r="S39" s="17">
        <v>0</v>
      </c>
      <c r="T39" s="17">
        <v>0</v>
      </c>
      <c r="U39" s="19">
        <v>0</v>
      </c>
      <c r="V39" s="19">
        <v>0</v>
      </c>
      <c r="W39" s="1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11"/>
    </row>
    <row r="40" spans="1:32" s="1" customFormat="1" x14ac:dyDescent="0.3">
      <c r="A40" s="1" t="s">
        <v>35</v>
      </c>
      <c r="C40" s="1" t="s">
        <v>27</v>
      </c>
      <c r="D40" s="1">
        <v>0.1</v>
      </c>
      <c r="E40" s="1">
        <v>0.1</v>
      </c>
      <c r="F40" s="1">
        <v>0.1</v>
      </c>
      <c r="G40" s="1">
        <v>5</v>
      </c>
      <c r="H40" s="15">
        <v>5</v>
      </c>
      <c r="I40" s="1">
        <v>50</v>
      </c>
      <c r="J40" s="1">
        <v>50</v>
      </c>
      <c r="K40" s="1">
        <f>emulsie!D12</f>
        <v>1</v>
      </c>
      <c r="L40" s="1">
        <v>0.1</v>
      </c>
      <c r="M40" s="1">
        <v>10</v>
      </c>
      <c r="N40" s="1">
        <v>50</v>
      </c>
      <c r="O40" s="1">
        <v>1</v>
      </c>
      <c r="P40" s="1">
        <v>10</v>
      </c>
      <c r="Q40" s="1">
        <v>100</v>
      </c>
      <c r="R40" s="18">
        <v>50</v>
      </c>
      <c r="S40" s="18">
        <v>50</v>
      </c>
      <c r="T40" s="18">
        <v>50</v>
      </c>
      <c r="U40" s="20">
        <v>50</v>
      </c>
      <c r="V40" s="20">
        <v>50</v>
      </c>
      <c r="W40" s="20">
        <v>50</v>
      </c>
      <c r="X40" s="1">
        <v>0.1</v>
      </c>
      <c r="Y40" s="1">
        <v>0.1</v>
      </c>
      <c r="Z40" s="1">
        <v>0.1</v>
      </c>
      <c r="AA40" s="1">
        <v>0.1</v>
      </c>
      <c r="AB40" s="1">
        <v>0.1</v>
      </c>
      <c r="AC40" s="1">
        <v>0.1</v>
      </c>
      <c r="AD40" s="1">
        <v>0.1</v>
      </c>
      <c r="AE40" s="1">
        <v>0.1</v>
      </c>
    </row>
    <row r="41" spans="1:32" x14ac:dyDescent="0.3">
      <c r="C41" s="7" t="s">
        <v>80</v>
      </c>
      <c r="D41" s="7">
        <f>water!D13</f>
        <v>0</v>
      </c>
      <c r="E41" s="7">
        <f>glucose!D13</f>
        <v>0</v>
      </c>
      <c r="F41" s="7">
        <f>sucrose!D13</f>
        <v>0</v>
      </c>
      <c r="G41" s="7">
        <f>'milk choc'!D13</f>
        <v>6</v>
      </c>
      <c r="H41" s="13">
        <v>7</v>
      </c>
      <c r="I41" s="7">
        <f>'gastic milk choc'!D13</f>
        <v>0</v>
      </c>
      <c r="J41" s="7">
        <f>'gastic milk choc arab'!D13</f>
        <v>0</v>
      </c>
      <c r="K41" s="7">
        <f>emulsie!D13</f>
        <v>0</v>
      </c>
      <c r="L41" s="7">
        <f>arabinose!D13</f>
        <v>0</v>
      </c>
      <c r="M41" s="7">
        <v>0</v>
      </c>
      <c r="N41" s="7">
        <v>0</v>
      </c>
      <c r="O41" s="7">
        <v>0</v>
      </c>
      <c r="P41">
        <v>10</v>
      </c>
      <c r="Q41">
        <v>11</v>
      </c>
      <c r="R41" s="17">
        <v>16</v>
      </c>
      <c r="S41" s="17">
        <v>17</v>
      </c>
      <c r="T41" s="17">
        <v>0</v>
      </c>
      <c r="U41" s="19">
        <v>19</v>
      </c>
      <c r="V41" s="19">
        <v>20</v>
      </c>
      <c r="W41" s="19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11"/>
    </row>
    <row r="42" spans="1:32" x14ac:dyDescent="0.3">
      <c r="C42" s="7" t="s">
        <v>82</v>
      </c>
      <c r="D42" s="7">
        <f>water!D14</f>
        <v>0</v>
      </c>
      <c r="E42" s="7">
        <f>glucose!D14</f>
        <v>0</v>
      </c>
      <c r="F42" s="7">
        <f>sucrose!D14</f>
        <v>0</v>
      </c>
      <c r="G42" s="7">
        <v>100</v>
      </c>
      <c r="H42" s="13">
        <v>100</v>
      </c>
      <c r="I42" s="7">
        <f>'gastic milk choc'!D14</f>
        <v>0</v>
      </c>
      <c r="J42" s="7">
        <f>'gastic milk choc arab'!D14</f>
        <v>0</v>
      </c>
      <c r="K42" s="7">
        <f>emulsie!D14</f>
        <v>0</v>
      </c>
      <c r="L42" s="7">
        <f>arabinose!D14</f>
        <v>0</v>
      </c>
      <c r="M42" s="7">
        <v>0</v>
      </c>
      <c r="N42" s="7">
        <v>0</v>
      </c>
      <c r="O42" s="7">
        <v>0</v>
      </c>
      <c r="P42">
        <v>50</v>
      </c>
      <c r="Q42">
        <v>100</v>
      </c>
      <c r="R42" s="17">
        <v>60</v>
      </c>
      <c r="S42" s="17">
        <v>100</v>
      </c>
      <c r="T42" s="17">
        <v>0</v>
      </c>
      <c r="U42" s="19">
        <v>60</v>
      </c>
      <c r="V42" s="19">
        <v>100</v>
      </c>
      <c r="W42" s="19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11"/>
    </row>
    <row r="43" spans="1:32" x14ac:dyDescent="0.3">
      <c r="C43" s="7" t="s">
        <v>81</v>
      </c>
      <c r="D43" s="7">
        <f>water!D15</f>
        <v>0</v>
      </c>
      <c r="E43" s="7">
        <f>glucose!D15</f>
        <v>0</v>
      </c>
      <c r="F43" s="7">
        <f>sucrose!D15</f>
        <v>0</v>
      </c>
      <c r="G43" s="7">
        <f>'milk choc'!D15</f>
        <v>0</v>
      </c>
      <c r="H43" s="13">
        <f>'milk chocolate arabinose'!D15</f>
        <v>0</v>
      </c>
      <c r="I43" s="7">
        <f>'gastic milk choc'!D15</f>
        <v>0</v>
      </c>
      <c r="J43" s="7">
        <f>'gastic milk choc arab'!D15</f>
        <v>0</v>
      </c>
      <c r="K43" s="7">
        <f>emulsie!D15</f>
        <v>0</v>
      </c>
      <c r="L43" s="7">
        <f>arabinose!D15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17">
        <v>0</v>
      </c>
      <c r="S43" s="17">
        <v>0</v>
      </c>
      <c r="T43" s="17">
        <v>0</v>
      </c>
      <c r="U43" s="19">
        <v>20</v>
      </c>
      <c r="V43" s="19">
        <v>0</v>
      </c>
      <c r="W43" s="19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11"/>
    </row>
    <row r="44" spans="1:32" x14ac:dyDescent="0.3">
      <c r="C44" s="7" t="s">
        <v>82</v>
      </c>
      <c r="D44" s="7">
        <f>water!D16</f>
        <v>0</v>
      </c>
      <c r="E44" s="7">
        <f>glucose!D16</f>
        <v>0</v>
      </c>
      <c r="F44" s="7">
        <f>sucrose!D16</f>
        <v>0</v>
      </c>
      <c r="G44" s="7">
        <f>'milk choc'!D16</f>
        <v>0</v>
      </c>
      <c r="H44" s="13">
        <f>'milk chocolate arabinose'!D16</f>
        <v>0</v>
      </c>
      <c r="I44" s="7">
        <f>'gastic milk choc'!D16</f>
        <v>0</v>
      </c>
      <c r="J44" s="7">
        <f>'gastic milk choc arab'!D16</f>
        <v>0</v>
      </c>
      <c r="K44" s="7">
        <f>emulsie!D16</f>
        <v>0</v>
      </c>
      <c r="L44" s="7">
        <f>arabinose!D16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17">
        <v>40</v>
      </c>
      <c r="S44" s="17">
        <v>0</v>
      </c>
      <c r="T44" s="17">
        <v>0</v>
      </c>
      <c r="U44" s="19">
        <v>40</v>
      </c>
      <c r="V44" s="19">
        <v>0</v>
      </c>
      <c r="W44" s="19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8">
        <v>0</v>
      </c>
      <c r="AE44" s="8">
        <v>0</v>
      </c>
      <c r="AF44" s="11"/>
    </row>
    <row r="45" spans="1:32" s="1" customFormat="1" x14ac:dyDescent="0.3">
      <c r="A45" s="1" t="s">
        <v>92</v>
      </c>
      <c r="C45" s="1" t="s">
        <v>27</v>
      </c>
      <c r="D45" s="1">
        <v>0.1</v>
      </c>
      <c r="E45" s="1">
        <v>0.1</v>
      </c>
      <c r="F45" s="1">
        <v>0.1</v>
      </c>
      <c r="G45" s="1">
        <v>1</v>
      </c>
      <c r="H45" s="15">
        <v>1</v>
      </c>
      <c r="I45" s="1">
        <v>1</v>
      </c>
      <c r="J45" s="1">
        <v>1</v>
      </c>
      <c r="K45" s="1">
        <f>emulsie!D17</f>
        <v>1</v>
      </c>
      <c r="L45" s="1">
        <v>0.1</v>
      </c>
      <c r="M45" s="1">
        <v>2</v>
      </c>
      <c r="N45" s="1">
        <v>10</v>
      </c>
      <c r="O45" s="1">
        <v>1</v>
      </c>
      <c r="P45" s="1">
        <v>10</v>
      </c>
      <c r="Q45" s="1">
        <v>100</v>
      </c>
      <c r="R45" s="18">
        <v>10</v>
      </c>
      <c r="S45" s="18">
        <v>20</v>
      </c>
      <c r="T45" s="18">
        <v>20</v>
      </c>
      <c r="U45" s="20">
        <v>10</v>
      </c>
      <c r="V45" s="20">
        <v>20</v>
      </c>
      <c r="W45" s="20">
        <v>20</v>
      </c>
      <c r="X45" s="1">
        <v>0.1</v>
      </c>
      <c r="Y45" s="1">
        <v>0.1</v>
      </c>
      <c r="Z45" s="1">
        <v>0.1</v>
      </c>
      <c r="AA45" s="1">
        <v>0.1</v>
      </c>
      <c r="AB45" s="1">
        <v>1</v>
      </c>
      <c r="AC45" s="1">
        <v>0.1</v>
      </c>
      <c r="AD45" s="1">
        <v>0.1</v>
      </c>
      <c r="AE45" s="1">
        <v>0.1</v>
      </c>
      <c r="AF45" s="16"/>
    </row>
    <row r="46" spans="1:32" x14ac:dyDescent="0.3">
      <c r="C46" s="7" t="s">
        <v>80</v>
      </c>
      <c r="D46" s="7">
        <f>water!D18</f>
        <v>0</v>
      </c>
      <c r="E46" s="7">
        <f>glucose!D18</f>
        <v>0</v>
      </c>
      <c r="F46" s="7">
        <f>sucrose!D18</f>
        <v>0</v>
      </c>
      <c r="G46" s="7">
        <v>6</v>
      </c>
      <c r="H46" s="13">
        <v>7</v>
      </c>
      <c r="I46" s="7">
        <f>'gastic milk choc'!D18</f>
        <v>0</v>
      </c>
      <c r="J46" s="7">
        <f>'gastic milk choc arab'!D18</f>
        <v>0</v>
      </c>
      <c r="K46" s="7">
        <f>emulsie!D18</f>
        <v>0</v>
      </c>
      <c r="L46" s="7">
        <f>arabinose!D18</f>
        <v>0</v>
      </c>
      <c r="M46" s="7">
        <v>0</v>
      </c>
      <c r="N46" s="7">
        <v>0</v>
      </c>
      <c r="O46" s="7">
        <v>0</v>
      </c>
      <c r="P46">
        <v>10</v>
      </c>
      <c r="Q46">
        <v>11</v>
      </c>
      <c r="R46" s="17">
        <v>16</v>
      </c>
      <c r="S46" s="17">
        <v>17</v>
      </c>
      <c r="T46" s="17">
        <v>0</v>
      </c>
      <c r="U46" s="19">
        <v>19</v>
      </c>
      <c r="V46" s="19">
        <v>20</v>
      </c>
      <c r="W46" s="19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11"/>
    </row>
    <row r="47" spans="1:32" x14ac:dyDescent="0.3">
      <c r="C47" s="7" t="s">
        <v>82</v>
      </c>
      <c r="D47" s="7">
        <f>water!D19</f>
        <v>0</v>
      </c>
      <c r="E47" s="7">
        <f>glucose!D19</f>
        <v>0</v>
      </c>
      <c r="F47" s="7">
        <f>sucrose!D19</f>
        <v>0</v>
      </c>
      <c r="G47" s="7">
        <v>100</v>
      </c>
      <c r="H47" s="13">
        <v>100</v>
      </c>
      <c r="I47" s="7">
        <f>'gastic milk choc'!D19</f>
        <v>0</v>
      </c>
      <c r="J47" s="7">
        <f>'gastic milk choc arab'!D19</f>
        <v>0</v>
      </c>
      <c r="K47" s="7">
        <f>emulsie!D19</f>
        <v>0</v>
      </c>
      <c r="L47" s="7">
        <f>arabinose!D19</f>
        <v>0</v>
      </c>
      <c r="M47" s="7">
        <v>0</v>
      </c>
      <c r="N47" s="7">
        <v>0</v>
      </c>
      <c r="O47" s="7">
        <v>0</v>
      </c>
      <c r="P47">
        <v>50</v>
      </c>
      <c r="Q47">
        <v>100</v>
      </c>
      <c r="R47" s="17">
        <v>50</v>
      </c>
      <c r="S47" s="17">
        <v>100</v>
      </c>
      <c r="T47" s="17">
        <v>0</v>
      </c>
      <c r="U47" s="19">
        <v>50</v>
      </c>
      <c r="V47" s="19">
        <v>100</v>
      </c>
      <c r="W47" s="19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11"/>
    </row>
    <row r="48" spans="1:32" x14ac:dyDescent="0.3">
      <c r="C48" s="7" t="s">
        <v>81</v>
      </c>
      <c r="D48" s="7">
        <f>water!D20</f>
        <v>0</v>
      </c>
      <c r="E48" s="7">
        <f>glucose!D20</f>
        <v>0</v>
      </c>
      <c r="F48" s="7">
        <f>sucrose!D20</f>
        <v>0</v>
      </c>
      <c r="G48" s="7">
        <f>'milk choc'!D20</f>
        <v>0</v>
      </c>
      <c r="H48" s="13">
        <f>'milk chocolate arabinose'!D20</f>
        <v>0</v>
      </c>
      <c r="I48" s="7">
        <f>'gastic milk choc'!D20</f>
        <v>0</v>
      </c>
      <c r="J48" s="7">
        <f>'gastic milk choc arab'!D20</f>
        <v>0</v>
      </c>
      <c r="K48" s="7">
        <f>emulsie!D20</f>
        <v>0</v>
      </c>
      <c r="L48" s="7">
        <f>arabinose!D20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17">
        <v>0</v>
      </c>
      <c r="S48" s="17">
        <v>0</v>
      </c>
      <c r="T48" s="17">
        <v>0</v>
      </c>
      <c r="U48" s="19">
        <v>20</v>
      </c>
      <c r="V48" s="19">
        <v>0</v>
      </c>
      <c r="W48" s="19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11"/>
    </row>
    <row r="49" spans="1:32" x14ac:dyDescent="0.3">
      <c r="C49" s="7" t="s">
        <v>82</v>
      </c>
      <c r="D49" s="7">
        <f>water!D21</f>
        <v>0</v>
      </c>
      <c r="E49" s="7">
        <f>glucose!D21</f>
        <v>0</v>
      </c>
      <c r="F49" s="7">
        <f>sucrose!D21</f>
        <v>0</v>
      </c>
      <c r="G49" s="7">
        <f>'milk choc'!D21</f>
        <v>0</v>
      </c>
      <c r="H49" s="13">
        <f>'milk chocolate arabinose'!D21</f>
        <v>0</v>
      </c>
      <c r="I49" s="7">
        <f>'gastic milk choc'!D21</f>
        <v>0</v>
      </c>
      <c r="J49" s="7">
        <f>'gastic milk choc arab'!D21</f>
        <v>0</v>
      </c>
      <c r="K49" s="7">
        <f>emulsie!D21</f>
        <v>0</v>
      </c>
      <c r="L49" s="7">
        <f>arabinose!D21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17">
        <v>50</v>
      </c>
      <c r="S49" s="17">
        <v>0</v>
      </c>
      <c r="T49" s="17">
        <v>0</v>
      </c>
      <c r="U49" s="19">
        <v>50</v>
      </c>
      <c r="V49" s="19">
        <v>0</v>
      </c>
      <c r="W49" s="1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11"/>
    </row>
    <row r="50" spans="1:32" x14ac:dyDescent="0.3">
      <c r="H50" s="13"/>
      <c r="P50"/>
      <c r="Q50"/>
      <c r="S50"/>
      <c r="T50"/>
      <c r="U50"/>
      <c r="V50"/>
      <c r="W50"/>
    </row>
    <row r="51" spans="1:32" x14ac:dyDescent="0.3">
      <c r="B51" s="8"/>
      <c r="C51" s="8"/>
      <c r="H51" s="13"/>
      <c r="P51"/>
      <c r="Q51"/>
      <c r="S51"/>
      <c r="T51"/>
      <c r="U51"/>
      <c r="V51"/>
      <c r="W51"/>
    </row>
    <row r="52" spans="1:32" x14ac:dyDescent="0.3">
      <c r="B52" s="8" t="s">
        <v>26</v>
      </c>
      <c r="C52" s="8"/>
      <c r="H52" s="13"/>
      <c r="P52"/>
      <c r="Q52"/>
      <c r="S52"/>
      <c r="T52"/>
      <c r="U52"/>
      <c r="V52"/>
      <c r="W52"/>
    </row>
    <row r="53" spans="1:32" x14ac:dyDescent="0.3">
      <c r="A53" s="7">
        <v>1</v>
      </c>
      <c r="B53" s="7" t="s">
        <v>8</v>
      </c>
      <c r="C53" s="7" t="s">
        <v>28</v>
      </c>
      <c r="D53" s="7">
        <f>water!D25</f>
        <v>100</v>
      </c>
      <c r="E53" s="7">
        <f>glucose!D25</f>
        <v>0</v>
      </c>
      <c r="F53" s="7">
        <f>sucrose!D25</f>
        <v>0</v>
      </c>
      <c r="G53" s="7">
        <f>'milk choc'!D25</f>
        <v>0</v>
      </c>
      <c r="H53" s="13">
        <f>'milk chocolate arabinose'!D25</f>
        <v>0</v>
      </c>
      <c r="I53" s="7">
        <f>'gastic milk choc'!D25</f>
        <v>36.94</v>
      </c>
      <c r="J53" s="7">
        <f>'gastic milk choc arab'!D25</f>
        <v>36.94</v>
      </c>
      <c r="K53" s="7">
        <f>emulsie!D25</f>
        <v>50</v>
      </c>
      <c r="L53" s="7">
        <f>arabinose!D25</f>
        <v>0</v>
      </c>
      <c r="M53" s="7">
        <v>0</v>
      </c>
      <c r="N53" s="7">
        <v>0</v>
      </c>
      <c r="O53" s="7">
        <v>0</v>
      </c>
      <c r="P53">
        <v>14</v>
      </c>
      <c r="Q53">
        <v>14</v>
      </c>
      <c r="R53" s="7">
        <v>67</v>
      </c>
      <c r="S53">
        <v>67</v>
      </c>
      <c r="T53">
        <v>67</v>
      </c>
      <c r="U53">
        <v>54</v>
      </c>
      <c r="V53">
        <v>54</v>
      </c>
      <c r="W53">
        <v>54</v>
      </c>
      <c r="X53" s="7">
        <v>100</v>
      </c>
      <c r="Y53" s="7">
        <v>100</v>
      </c>
      <c r="Z53" s="7">
        <v>100</v>
      </c>
      <c r="AA53" s="7">
        <v>100</v>
      </c>
      <c r="AB53" s="8">
        <v>0</v>
      </c>
      <c r="AC53" s="8">
        <v>0</v>
      </c>
      <c r="AD53" s="8">
        <v>0</v>
      </c>
      <c r="AE53" s="8">
        <v>0</v>
      </c>
    </row>
    <row r="54" spans="1:32" x14ac:dyDescent="0.3">
      <c r="A54" s="7">
        <v>2</v>
      </c>
      <c r="B54" s="7" t="s">
        <v>36</v>
      </c>
      <c r="C54" s="7" t="s">
        <v>28</v>
      </c>
      <c r="D54" s="7">
        <f>water!D26</f>
        <v>0</v>
      </c>
      <c r="E54" s="7">
        <f>glucose!D26</f>
        <v>0</v>
      </c>
      <c r="F54" s="7">
        <f>sucrose!D26</f>
        <v>0</v>
      </c>
      <c r="G54" s="7">
        <f>'milk choc'!D26</f>
        <v>32.729999999999997</v>
      </c>
      <c r="H54" s="13">
        <f>'milk chocolate arabinose'!D26</f>
        <v>32.729999999999997</v>
      </c>
      <c r="I54" s="7">
        <f>'gastic milk choc'!D26</f>
        <v>29.13</v>
      </c>
      <c r="J54" s="7">
        <f>'gastic milk choc arab'!D26</f>
        <v>29.13</v>
      </c>
      <c r="K54" s="7">
        <f>emulsie!D26</f>
        <v>50</v>
      </c>
      <c r="L54" s="7">
        <f>arabinose!D26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9</v>
      </c>
      <c r="S54">
        <v>9</v>
      </c>
      <c r="T54">
        <v>9</v>
      </c>
      <c r="U54">
        <v>9</v>
      </c>
      <c r="V54">
        <v>9</v>
      </c>
      <c r="W54">
        <v>9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2" x14ac:dyDescent="0.3">
      <c r="A55" s="7">
        <v>3</v>
      </c>
      <c r="B55" s="7" t="s">
        <v>2</v>
      </c>
      <c r="C55" s="7" t="s">
        <v>28</v>
      </c>
      <c r="D55" s="7">
        <f>water!D27</f>
        <v>0</v>
      </c>
      <c r="E55" s="7">
        <v>99</v>
      </c>
      <c r="F55" s="7">
        <f>sucrose!D27</f>
        <v>0</v>
      </c>
      <c r="G55" s="7">
        <f>'milk choc'!D27</f>
        <v>0</v>
      </c>
      <c r="H55" s="13">
        <f>'milk chocolate arabinose'!D27</f>
        <v>0</v>
      </c>
      <c r="I55" s="7">
        <f>'gastic milk choc'!D27</f>
        <v>0</v>
      </c>
      <c r="J55" s="7">
        <f>'gastic milk choc arab'!D27</f>
        <v>0</v>
      </c>
      <c r="K55" s="7">
        <f>emulsie!D27</f>
        <v>0</v>
      </c>
      <c r="L55" s="7">
        <f>arabinose!D27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2" x14ac:dyDescent="0.3">
      <c r="A56" s="7">
        <v>4</v>
      </c>
      <c r="B56" s="7" t="s">
        <v>9</v>
      </c>
      <c r="C56" s="7" t="s">
        <v>28</v>
      </c>
      <c r="D56" s="7">
        <f>water!D28</f>
        <v>0</v>
      </c>
      <c r="E56" s="7">
        <f>glucose!D28</f>
        <v>0</v>
      </c>
      <c r="F56" s="7">
        <f>sucrose!D28</f>
        <v>0</v>
      </c>
      <c r="G56" s="7">
        <f>'milk choc'!D28</f>
        <v>1.08</v>
      </c>
      <c r="H56" s="13">
        <f>'milk chocolate arabinose'!D28</f>
        <v>1.08</v>
      </c>
      <c r="I56" s="7">
        <f>'gastic milk choc'!D28</f>
        <v>1.08</v>
      </c>
      <c r="J56" s="7">
        <f>'gastic milk choc arab'!D28</f>
        <v>1.08</v>
      </c>
      <c r="K56" s="7">
        <f>emulsie!D28</f>
        <v>0</v>
      </c>
      <c r="L56" s="7">
        <f>arabinose!D28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6</v>
      </c>
      <c r="S56">
        <v>6</v>
      </c>
      <c r="T56">
        <v>6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2" x14ac:dyDescent="0.3">
      <c r="A57" s="7">
        <v>5</v>
      </c>
      <c r="B57" s="7" t="s">
        <v>20</v>
      </c>
      <c r="C57" s="7" t="s">
        <v>28</v>
      </c>
      <c r="D57" s="7">
        <f>water!D29</f>
        <v>0</v>
      </c>
      <c r="E57" s="7">
        <f>glucose!D29</f>
        <v>0</v>
      </c>
      <c r="F57" s="7">
        <f>sucrose!D29</f>
        <v>0</v>
      </c>
      <c r="G57" s="7">
        <f>'milk choc'!D29</f>
        <v>0</v>
      </c>
      <c r="H57" s="13">
        <f>'milk chocolate arabinose'!D29</f>
        <v>0</v>
      </c>
      <c r="I57" s="7">
        <f>'gastic milk choc'!D29</f>
        <v>0</v>
      </c>
      <c r="J57" s="7">
        <f>'gastic milk choc arab'!D29</f>
        <v>0</v>
      </c>
      <c r="K57" s="7">
        <f>emulsie!D29</f>
        <v>0</v>
      </c>
      <c r="L57" s="7">
        <f>arabinose!D29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2" x14ac:dyDescent="0.3">
      <c r="A58" s="7">
        <v>6</v>
      </c>
      <c r="B58" s="7" t="s">
        <v>66</v>
      </c>
      <c r="C58" s="7" t="s">
        <v>28</v>
      </c>
      <c r="D58" s="7">
        <f>water!D30</f>
        <v>0</v>
      </c>
      <c r="E58" s="7">
        <f>glucose!D30</f>
        <v>0</v>
      </c>
      <c r="F58" s="7">
        <f>sucrose!D30</f>
        <v>0</v>
      </c>
      <c r="G58" s="7">
        <f>'milk choc'!D30</f>
        <v>0</v>
      </c>
      <c r="H58" s="13">
        <f>'milk chocolate arabinose'!D30</f>
        <v>0</v>
      </c>
      <c r="I58" s="7">
        <f>'gastic milk choc'!D30</f>
        <v>0</v>
      </c>
      <c r="J58" s="7">
        <f>'gastic milk choc arab'!D30</f>
        <v>0</v>
      </c>
      <c r="K58" s="7">
        <f>emulsie!D30</f>
        <v>0</v>
      </c>
      <c r="L58" s="7">
        <f>arabinose!D30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2" x14ac:dyDescent="0.3">
      <c r="A59" s="7">
        <v>10</v>
      </c>
      <c r="B59" s="7" t="s">
        <v>15</v>
      </c>
      <c r="C59" s="7" t="s">
        <v>28</v>
      </c>
      <c r="D59" s="7">
        <f>water!D31</f>
        <v>0</v>
      </c>
      <c r="E59" s="7">
        <f>glucose!D31</f>
        <v>0</v>
      </c>
      <c r="F59" s="7">
        <f>sucrose!D31</f>
        <v>0</v>
      </c>
      <c r="G59" s="7">
        <f>'milk choc'!D31</f>
        <v>0</v>
      </c>
      <c r="H59" s="13">
        <f>'milk chocolate arabinose'!D31</f>
        <v>0</v>
      </c>
      <c r="I59" s="7">
        <f>'gastic milk choc'!D31</f>
        <v>0</v>
      </c>
      <c r="J59" s="7">
        <f>'gastic milk choc arab'!D31</f>
        <v>0</v>
      </c>
      <c r="K59" s="7">
        <f>emulsie!D31</f>
        <v>0</v>
      </c>
      <c r="L59" s="7">
        <f>arabinose!D31</f>
        <v>0</v>
      </c>
      <c r="M59" s="7">
        <v>99</v>
      </c>
      <c r="N59" s="7">
        <v>0</v>
      </c>
      <c r="O59" s="7">
        <v>0</v>
      </c>
      <c r="P59">
        <v>75</v>
      </c>
      <c r="Q59">
        <v>0</v>
      </c>
      <c r="R59" s="7">
        <v>50</v>
      </c>
      <c r="S59">
        <v>50</v>
      </c>
      <c r="T59">
        <v>50</v>
      </c>
      <c r="U59">
        <v>50</v>
      </c>
      <c r="V59">
        <v>50</v>
      </c>
      <c r="W59">
        <v>50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2" x14ac:dyDescent="0.3">
      <c r="A60" s="7">
        <v>11</v>
      </c>
      <c r="B60" s="7" t="s">
        <v>16</v>
      </c>
      <c r="C60" s="7" t="s">
        <v>28</v>
      </c>
      <c r="D60" s="7">
        <f>water!D32</f>
        <v>0</v>
      </c>
      <c r="E60" s="7">
        <f>glucose!D32</f>
        <v>0</v>
      </c>
      <c r="F60" s="7">
        <f>sucrose!D32</f>
        <v>0</v>
      </c>
      <c r="G60" s="7">
        <f>'milk choc'!D32</f>
        <v>0</v>
      </c>
      <c r="H60" s="13">
        <f>'milk chocolate arabinose'!D32</f>
        <v>0</v>
      </c>
      <c r="I60" s="7">
        <f>'gastic milk choc'!D32</f>
        <v>0</v>
      </c>
      <c r="J60" s="7">
        <f>'gastic milk choc arab'!D32</f>
        <v>0</v>
      </c>
      <c r="K60" s="7">
        <f>emulsie!D32</f>
        <v>0</v>
      </c>
      <c r="L60" s="7">
        <f>arabinose!D32</f>
        <v>0</v>
      </c>
      <c r="M60" s="7">
        <v>0</v>
      </c>
      <c r="N60" s="7">
        <v>99</v>
      </c>
      <c r="O60" s="7">
        <v>0</v>
      </c>
      <c r="P60">
        <v>0</v>
      </c>
      <c r="Q60">
        <v>75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2" x14ac:dyDescent="0.3">
      <c r="A61" s="7">
        <v>12</v>
      </c>
      <c r="B61" s="7" t="s">
        <v>17</v>
      </c>
      <c r="C61" s="7" t="s">
        <v>28</v>
      </c>
      <c r="D61" s="7">
        <f>water!D33</f>
        <v>0</v>
      </c>
      <c r="E61" s="7">
        <f>glucose!D33</f>
        <v>0</v>
      </c>
      <c r="F61" s="7">
        <f>sucrose!D33</f>
        <v>0</v>
      </c>
      <c r="G61" s="7">
        <f>'milk choc'!D33</f>
        <v>6</v>
      </c>
      <c r="H61" s="13">
        <f>'milk chocolate arabinose'!D33</f>
        <v>6</v>
      </c>
      <c r="I61" s="7">
        <f>'gastic milk choc'!D33</f>
        <v>1.78</v>
      </c>
      <c r="J61" s="7">
        <f>'gastic milk choc arab'!D33</f>
        <v>1.78</v>
      </c>
      <c r="K61" s="7">
        <f>emulsie!D33</f>
        <v>0</v>
      </c>
      <c r="L61" s="7">
        <f>arabinose!D33</f>
        <v>0</v>
      </c>
      <c r="M61" s="7">
        <v>0</v>
      </c>
      <c r="N61" s="7">
        <v>0</v>
      </c>
      <c r="O61" s="7">
        <v>99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2" x14ac:dyDescent="0.3">
      <c r="A62" s="7">
        <v>20</v>
      </c>
      <c r="B62" s="7" t="s">
        <v>3</v>
      </c>
      <c r="C62" s="7" t="s">
        <v>28</v>
      </c>
      <c r="D62" s="7">
        <f>water!D34</f>
        <v>0</v>
      </c>
      <c r="E62" s="7">
        <f>glucose!D34</f>
        <v>0</v>
      </c>
      <c r="F62" s="7">
        <f>sucrose!D34</f>
        <v>0</v>
      </c>
      <c r="G62" s="7">
        <f>'milk choc'!D34</f>
        <v>0</v>
      </c>
      <c r="H62" s="13">
        <f>'milk chocolate arabinose'!D34</f>
        <v>0</v>
      </c>
      <c r="I62" s="7">
        <f>'gastic milk choc'!D34</f>
        <v>0</v>
      </c>
      <c r="J62" s="7">
        <f>'gastic milk choc arab'!D34</f>
        <v>0</v>
      </c>
      <c r="K62" s="7">
        <f>emulsie!D34</f>
        <v>0</v>
      </c>
      <c r="L62" s="7">
        <f>arabinose!D34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2" x14ac:dyDescent="0.3">
      <c r="A63" s="7">
        <v>21</v>
      </c>
      <c r="B63" s="7" t="s">
        <v>4</v>
      </c>
      <c r="C63" s="7" t="s">
        <v>28</v>
      </c>
      <c r="D63" s="7">
        <f>water!D35</f>
        <v>0</v>
      </c>
      <c r="E63" s="7">
        <f>glucose!D35</f>
        <v>0</v>
      </c>
      <c r="F63" s="7">
        <v>98</v>
      </c>
      <c r="G63" s="7">
        <v>40.5</v>
      </c>
      <c r="H63" s="13">
        <v>28.7</v>
      </c>
      <c r="I63" s="7">
        <v>19</v>
      </c>
      <c r="J63" s="7">
        <v>14</v>
      </c>
      <c r="K63" s="7">
        <f>emulsie!D35</f>
        <v>0</v>
      </c>
      <c r="L63" s="7">
        <f>arabinose!D35</f>
        <v>0</v>
      </c>
      <c r="M63" s="7">
        <v>0</v>
      </c>
      <c r="N63" s="7">
        <v>0</v>
      </c>
      <c r="O63" s="7">
        <v>0</v>
      </c>
      <c r="P63">
        <v>9</v>
      </c>
      <c r="Q63">
        <v>9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2" x14ac:dyDescent="0.3">
      <c r="A64" s="7">
        <v>22</v>
      </c>
      <c r="B64" s="7" t="s">
        <v>37</v>
      </c>
      <c r="C64" s="7" t="s">
        <v>28</v>
      </c>
      <c r="D64" s="7">
        <f>water!D36</f>
        <v>0</v>
      </c>
      <c r="E64" s="7">
        <f>glucose!D36</f>
        <v>0</v>
      </c>
      <c r="F64" s="7">
        <f>sucrose!D36</f>
        <v>0</v>
      </c>
      <c r="G64" s="7">
        <f>'milk choc'!D36</f>
        <v>0</v>
      </c>
      <c r="H64" s="13">
        <f>'milk chocolate arabinose'!D36</f>
        <v>0</v>
      </c>
      <c r="I64" s="7">
        <f>'gastic milk choc'!D36</f>
        <v>0</v>
      </c>
      <c r="J64" s="7">
        <f>'gastic milk choc arab'!D36</f>
        <v>0</v>
      </c>
      <c r="K64" s="7">
        <f>emulsie!D36</f>
        <v>0</v>
      </c>
      <c r="L64" s="7">
        <f>arabinose!D36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23</v>
      </c>
      <c r="B65" s="7" t="s">
        <v>18</v>
      </c>
      <c r="C65" s="7" t="s">
        <v>28</v>
      </c>
      <c r="D65" s="7">
        <f>water!D37</f>
        <v>0</v>
      </c>
      <c r="E65" s="7">
        <f>glucose!D37</f>
        <v>0</v>
      </c>
      <c r="F65" s="7">
        <f>sucrose!D37</f>
        <v>0</v>
      </c>
      <c r="G65" s="7">
        <f>'milk choc'!D37</f>
        <v>0</v>
      </c>
      <c r="H65" s="13">
        <f>'milk chocolate arabinose'!D37</f>
        <v>0</v>
      </c>
      <c r="I65" s="7">
        <f>'gastic milk choc'!D37</f>
        <v>0</v>
      </c>
      <c r="J65" s="7">
        <f>'gastic milk choc arab'!D37</f>
        <v>0</v>
      </c>
      <c r="K65" s="7">
        <f>emulsie!D37</f>
        <v>0</v>
      </c>
      <c r="L65" s="7">
        <f>arabinose!D37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24</v>
      </c>
      <c r="B66" s="7" t="s">
        <v>100</v>
      </c>
      <c r="C66" s="7" t="s">
        <v>28</v>
      </c>
      <c r="D66" s="7">
        <v>0</v>
      </c>
      <c r="E66" s="7">
        <v>0</v>
      </c>
      <c r="F66" s="7">
        <v>0</v>
      </c>
      <c r="G66" s="7">
        <v>0</v>
      </c>
      <c r="H66" s="13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25</v>
      </c>
      <c r="B67" s="7" t="s">
        <v>38</v>
      </c>
      <c r="C67" s="7" t="s">
        <v>28</v>
      </c>
      <c r="D67" s="7">
        <f>water!D38</f>
        <v>0</v>
      </c>
      <c r="E67" s="7">
        <f>glucose!D38</f>
        <v>0</v>
      </c>
      <c r="F67" s="7">
        <f>sucrose!D38</f>
        <v>0</v>
      </c>
      <c r="G67" s="7">
        <f>'milk choc'!D38</f>
        <v>0</v>
      </c>
      <c r="H67" s="13">
        <f>'milk chocolate arabinose'!D38</f>
        <v>11.9</v>
      </c>
      <c r="I67" s="7">
        <f>'gastic milk choc'!D38</f>
        <v>0</v>
      </c>
      <c r="J67" s="7">
        <f>'gastic milk choc arab'!D38</f>
        <v>5</v>
      </c>
      <c r="K67" s="7">
        <f>emulsie!D38</f>
        <v>0</v>
      </c>
      <c r="L67" s="7">
        <f>arabinose!D38</f>
        <v>100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26</v>
      </c>
      <c r="B68" s="7" t="s">
        <v>19</v>
      </c>
      <c r="C68" s="7" t="s">
        <v>28</v>
      </c>
      <c r="D68" s="7">
        <f>water!D39</f>
        <v>0</v>
      </c>
      <c r="E68" s="7">
        <f>glucose!D39</f>
        <v>0</v>
      </c>
      <c r="F68" s="7">
        <f>sucrose!D39</f>
        <v>0</v>
      </c>
      <c r="G68" s="7">
        <f>'milk choc'!D39</f>
        <v>0</v>
      </c>
      <c r="H68" s="13">
        <f>'milk chocolate arabinose'!D39</f>
        <v>0</v>
      </c>
      <c r="I68" s="7">
        <f>'gastic milk choc'!D39</f>
        <v>0</v>
      </c>
      <c r="J68" s="7">
        <f>'gastic milk choc arab'!D39</f>
        <v>0</v>
      </c>
      <c r="K68" s="7">
        <f>emulsie!D39</f>
        <v>0</v>
      </c>
      <c r="L68" s="7">
        <f>arabinose!D39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27</v>
      </c>
      <c r="B69" s="7" t="s">
        <v>39</v>
      </c>
      <c r="C69" s="7" t="s">
        <v>28</v>
      </c>
      <c r="D69" s="7">
        <f>water!D40</f>
        <v>0</v>
      </c>
      <c r="E69" s="7">
        <f>glucose!D40</f>
        <v>0</v>
      </c>
      <c r="F69" s="7">
        <f>sucrose!D40</f>
        <v>0</v>
      </c>
      <c r="G69" s="7">
        <f>'milk choc'!D40</f>
        <v>0</v>
      </c>
      <c r="H69" s="13">
        <f>'milk chocolate arabinose'!D40</f>
        <v>0</v>
      </c>
      <c r="I69" s="7">
        <f>'gastic milk choc'!D40</f>
        <v>0</v>
      </c>
      <c r="J69" s="7">
        <f>'gastic milk choc arab'!D40</f>
        <v>0</v>
      </c>
      <c r="K69" s="7">
        <f>emulsie!D40</f>
        <v>0</v>
      </c>
      <c r="L69" s="7">
        <f>arabinose!D40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34</v>
      </c>
      <c r="B70" s="7" t="s">
        <v>101</v>
      </c>
      <c r="C70" s="7" t="s">
        <v>28</v>
      </c>
      <c r="D70" s="7">
        <v>0</v>
      </c>
      <c r="E70" s="7">
        <v>1</v>
      </c>
      <c r="F70" s="7">
        <v>0</v>
      </c>
      <c r="G70" s="7">
        <v>0</v>
      </c>
      <c r="H70" s="13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35</v>
      </c>
      <c r="B71" s="7" t="s">
        <v>102</v>
      </c>
      <c r="C71" s="7" t="s">
        <v>28</v>
      </c>
      <c r="D71" s="7">
        <v>0</v>
      </c>
      <c r="E71" s="7">
        <v>0</v>
      </c>
      <c r="F71" s="7">
        <v>0</v>
      </c>
      <c r="G71" s="7">
        <v>0</v>
      </c>
      <c r="H71" s="13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36</v>
      </c>
      <c r="B72" s="7" t="s">
        <v>103</v>
      </c>
      <c r="C72" s="7" t="s">
        <v>28</v>
      </c>
      <c r="D72" s="7">
        <v>0</v>
      </c>
      <c r="E72" s="7">
        <v>0</v>
      </c>
      <c r="F72" s="7">
        <v>2</v>
      </c>
      <c r="G72" s="7">
        <v>1</v>
      </c>
      <c r="H72" s="13">
        <v>1</v>
      </c>
      <c r="I72" s="7">
        <v>1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40</v>
      </c>
      <c r="B73" s="7" t="s">
        <v>52</v>
      </c>
      <c r="C73" s="7" t="s">
        <v>28</v>
      </c>
      <c r="D73" s="7">
        <f>water!D41</f>
        <v>0</v>
      </c>
      <c r="E73" s="7">
        <f>glucose!D41</f>
        <v>0</v>
      </c>
      <c r="F73" s="7">
        <f>sucrose!D41</f>
        <v>0</v>
      </c>
      <c r="G73" s="7">
        <f>'milk choc'!D41</f>
        <v>0</v>
      </c>
      <c r="H73" s="13">
        <f>'milk chocolate arabinose'!D41</f>
        <v>0</v>
      </c>
      <c r="I73" s="7">
        <f>'gastic milk choc'!D41</f>
        <v>0</v>
      </c>
      <c r="J73" s="7">
        <f>'gastic milk choc arab'!D41</f>
        <v>0</v>
      </c>
      <c r="K73" s="7">
        <f>emulsie!D41</f>
        <v>0</v>
      </c>
      <c r="L73" s="7">
        <f>arabinose!D41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41</v>
      </c>
      <c r="B74" s="7" t="s">
        <v>53</v>
      </c>
      <c r="C74" s="7" t="s">
        <v>28</v>
      </c>
      <c r="D74" s="7">
        <f>water!D42</f>
        <v>0</v>
      </c>
      <c r="E74" s="7">
        <f>glucose!D42</f>
        <v>0</v>
      </c>
      <c r="F74" s="7">
        <f>sucrose!D42</f>
        <v>0</v>
      </c>
      <c r="G74" s="7">
        <f>'milk choc'!D42</f>
        <v>0</v>
      </c>
      <c r="H74" s="13">
        <f>'milk chocolate arabinose'!D42</f>
        <v>0</v>
      </c>
      <c r="I74" s="7">
        <f>'gastic milk choc'!D42</f>
        <v>0</v>
      </c>
      <c r="J74" s="7">
        <f>'gastic milk choc arab'!D42</f>
        <v>0</v>
      </c>
      <c r="K74" s="7">
        <f>emulsie!D42</f>
        <v>0</v>
      </c>
      <c r="L74" s="7">
        <f>arabinose!D42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50</v>
      </c>
      <c r="B75" s="7" t="s">
        <v>54</v>
      </c>
      <c r="C75" s="7" t="s">
        <v>28</v>
      </c>
      <c r="D75" s="7">
        <f>water!D43</f>
        <v>0</v>
      </c>
      <c r="E75" s="7">
        <f>glucose!D43</f>
        <v>0</v>
      </c>
      <c r="F75" s="7">
        <f>sucrose!D43</f>
        <v>0</v>
      </c>
      <c r="G75" s="7">
        <f>'milk choc'!D43</f>
        <v>0</v>
      </c>
      <c r="H75" s="13">
        <f>'milk chocolate arabinose'!D43</f>
        <v>0</v>
      </c>
      <c r="I75" s="7">
        <f>'gastic milk choc'!D43</f>
        <v>0</v>
      </c>
      <c r="J75" s="7">
        <f>'gastic milk choc arab'!D43</f>
        <v>0</v>
      </c>
      <c r="K75" s="7">
        <f>emulsie!D43</f>
        <v>0</v>
      </c>
      <c r="L75" s="7">
        <f>arabinose!D43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 s="7">
        <v>51</v>
      </c>
      <c r="B76" s="7" t="s">
        <v>55</v>
      </c>
      <c r="C76" s="7" t="s">
        <v>28</v>
      </c>
      <c r="D76" s="7">
        <f>water!D44</f>
        <v>0</v>
      </c>
      <c r="E76" s="7">
        <f>glucose!D44</f>
        <v>0</v>
      </c>
      <c r="F76" s="7">
        <f>sucrose!D44</f>
        <v>0</v>
      </c>
      <c r="G76" s="7">
        <f>'milk choc'!D44</f>
        <v>0</v>
      </c>
      <c r="H76" s="13">
        <f>'milk chocolate arabinose'!D44</f>
        <v>0</v>
      </c>
      <c r="I76" s="7">
        <f>'gastic milk choc'!D44</f>
        <v>0</v>
      </c>
      <c r="J76" s="7">
        <f>'gastic milk choc arab'!D44</f>
        <v>0</v>
      </c>
      <c r="K76" s="7">
        <f>emulsie!D44</f>
        <v>0</v>
      </c>
      <c r="L76" s="7">
        <f>arabinose!D44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0</v>
      </c>
      <c r="AE76" s="8">
        <v>0</v>
      </c>
    </row>
    <row r="77" spans="1:31" x14ac:dyDescent="0.3">
      <c r="A77" s="7">
        <v>52</v>
      </c>
      <c r="B77" s="7" t="s">
        <v>56</v>
      </c>
      <c r="C77" s="7" t="s">
        <v>28</v>
      </c>
      <c r="D77" s="7">
        <f>water!D45</f>
        <v>0</v>
      </c>
      <c r="E77" s="7">
        <f>glucose!D45</f>
        <v>0</v>
      </c>
      <c r="F77" s="7">
        <f>sucrose!D45</f>
        <v>0</v>
      </c>
      <c r="G77" s="7">
        <f>'milk choc'!D45</f>
        <v>0</v>
      </c>
      <c r="H77" s="13">
        <f>'milk chocolate arabinose'!D45</f>
        <v>0</v>
      </c>
      <c r="I77" s="7">
        <f>'gastic milk choc'!D45</f>
        <v>0</v>
      </c>
      <c r="J77" s="7">
        <f>'gastic milk choc arab'!D45</f>
        <v>0</v>
      </c>
      <c r="K77" s="7">
        <f>emulsie!D45</f>
        <v>0</v>
      </c>
      <c r="L77" s="7">
        <f>arabinose!D45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0</v>
      </c>
    </row>
    <row r="78" spans="1:31" x14ac:dyDescent="0.3">
      <c r="A78" s="7">
        <v>53</v>
      </c>
      <c r="B78" s="7" t="s">
        <v>57</v>
      </c>
      <c r="C78" s="7" t="s">
        <v>28</v>
      </c>
      <c r="D78" s="7">
        <f>water!D46</f>
        <v>0</v>
      </c>
      <c r="E78" s="7">
        <f>glucose!D46</f>
        <v>0</v>
      </c>
      <c r="F78" s="7">
        <f>sucrose!D46</f>
        <v>0</v>
      </c>
      <c r="G78" s="7">
        <f>'milk choc'!D46</f>
        <v>0</v>
      </c>
      <c r="H78" s="13">
        <f>'milk chocolate arabinose'!D46</f>
        <v>0</v>
      </c>
      <c r="I78" s="7">
        <f>'gastic milk choc'!D46</f>
        <v>0</v>
      </c>
      <c r="J78" s="7">
        <f>'gastic milk choc arab'!D46</f>
        <v>0</v>
      </c>
      <c r="K78" s="7">
        <f>emulsie!D46</f>
        <v>0</v>
      </c>
      <c r="L78" s="7">
        <f>arabinose!D46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54</v>
      </c>
      <c r="B79" s="7" t="s">
        <v>58</v>
      </c>
      <c r="C79" s="7" t="s">
        <v>28</v>
      </c>
      <c r="D79" s="7">
        <f>water!D47</f>
        <v>0</v>
      </c>
      <c r="E79" s="7">
        <f>glucose!D47</f>
        <v>0</v>
      </c>
      <c r="F79" s="7">
        <f>sucrose!D47</f>
        <v>0</v>
      </c>
      <c r="G79" s="7">
        <f>'milk choc'!D47</f>
        <v>0</v>
      </c>
      <c r="H79" s="13">
        <f>'milk chocolate arabinose'!D47</f>
        <v>0</v>
      </c>
      <c r="I79" s="7">
        <f>'gastic milk choc'!D47</f>
        <v>0</v>
      </c>
      <c r="J79" s="7">
        <f>'gastic milk choc arab'!D47</f>
        <v>0</v>
      </c>
      <c r="K79" s="7">
        <f>emulsie!D47</f>
        <v>0</v>
      </c>
      <c r="L79" s="7">
        <f>arabinose!D47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55</v>
      </c>
      <c r="B80" s="7" t="s">
        <v>62</v>
      </c>
      <c r="C80" s="7" t="s">
        <v>28</v>
      </c>
      <c r="D80" s="7">
        <f>water!D48</f>
        <v>0</v>
      </c>
      <c r="E80" s="7">
        <f>glucose!D48</f>
        <v>0</v>
      </c>
      <c r="F80" s="7">
        <f>sucrose!D48</f>
        <v>0</v>
      </c>
      <c r="G80" s="7">
        <f>'milk choc'!D48</f>
        <v>0</v>
      </c>
      <c r="H80" s="13">
        <f>'milk chocolate arabinose'!D48</f>
        <v>0</v>
      </c>
      <c r="I80" s="7">
        <f>'gastic milk choc'!D48</f>
        <v>0</v>
      </c>
      <c r="J80" s="7">
        <f>'gastic milk choc arab'!D48</f>
        <v>0</v>
      </c>
      <c r="K80" s="7">
        <f>emulsie!D48</f>
        <v>0</v>
      </c>
      <c r="L80" s="7">
        <f>arabinose!D48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56</v>
      </c>
      <c r="B81" s="7" t="s">
        <v>63</v>
      </c>
      <c r="C81" s="7" t="s">
        <v>28</v>
      </c>
      <c r="D81" s="7">
        <f>water!D49</f>
        <v>0</v>
      </c>
      <c r="E81" s="7">
        <f>glucose!D49</f>
        <v>0</v>
      </c>
      <c r="F81" s="7">
        <f>sucrose!D49</f>
        <v>0</v>
      </c>
      <c r="G81" s="7">
        <f>'milk choc'!D49</f>
        <v>0</v>
      </c>
      <c r="H81" s="13">
        <f>'milk chocolate arabinose'!D49</f>
        <v>0</v>
      </c>
      <c r="I81" s="7">
        <f>'gastic milk choc'!D49</f>
        <v>0</v>
      </c>
      <c r="J81" s="7">
        <f>'gastic milk choc arab'!D49</f>
        <v>0</v>
      </c>
      <c r="K81" s="7">
        <f>emulsie!D49</f>
        <v>0</v>
      </c>
      <c r="L81" s="7">
        <f>arabinose!D49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57</v>
      </c>
      <c r="B82" s="7" t="s">
        <v>59</v>
      </c>
      <c r="C82" s="7" t="s">
        <v>28</v>
      </c>
      <c r="D82" s="7">
        <f>water!D50</f>
        <v>0</v>
      </c>
      <c r="E82" s="7">
        <f>glucose!D50</f>
        <v>0</v>
      </c>
      <c r="F82" s="7">
        <f>sucrose!D50</f>
        <v>0</v>
      </c>
      <c r="G82" s="7">
        <f>'milk choc'!D50</f>
        <v>0</v>
      </c>
      <c r="H82" s="13">
        <f>'milk chocolate arabinose'!D50</f>
        <v>0</v>
      </c>
      <c r="I82" s="7">
        <f>'gastic milk choc'!D50</f>
        <v>0</v>
      </c>
      <c r="J82" s="7">
        <f>'gastic milk choc arab'!D50</f>
        <v>0</v>
      </c>
      <c r="K82" s="7">
        <f>emulsie!D50</f>
        <v>0</v>
      </c>
      <c r="L82" s="7">
        <f>arabinose!D50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8">
        <v>0</v>
      </c>
      <c r="AD82" s="8">
        <v>0</v>
      </c>
      <c r="AE82" s="8">
        <v>0</v>
      </c>
    </row>
    <row r="83" spans="1:31" x14ac:dyDescent="0.3">
      <c r="A83" s="7">
        <v>58</v>
      </c>
      <c r="B83" s="7" t="s">
        <v>60</v>
      </c>
      <c r="C83" s="7" t="s">
        <v>28</v>
      </c>
      <c r="D83" s="7">
        <f>water!D51</f>
        <v>0</v>
      </c>
      <c r="E83" s="7">
        <f>glucose!D51</f>
        <v>0</v>
      </c>
      <c r="F83" s="7">
        <f>sucrose!D51</f>
        <v>0</v>
      </c>
      <c r="G83" s="7">
        <f>'milk choc'!D51</f>
        <v>0</v>
      </c>
      <c r="H83" s="13">
        <f>'milk chocolate arabinose'!D51</f>
        <v>0</v>
      </c>
      <c r="I83" s="7">
        <f>'gastic milk choc'!D51</f>
        <v>0</v>
      </c>
      <c r="J83" s="7">
        <f>'gastic milk choc arab'!D51</f>
        <v>0</v>
      </c>
      <c r="K83" s="7">
        <f>emulsie!D51</f>
        <v>0</v>
      </c>
      <c r="L83" s="7">
        <f>arabinose!D51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8">
        <v>0</v>
      </c>
      <c r="AD83" s="8">
        <v>0</v>
      </c>
      <c r="AE83" s="8">
        <v>0</v>
      </c>
    </row>
    <row r="84" spans="1:31" x14ac:dyDescent="0.3">
      <c r="A84" s="7">
        <v>60</v>
      </c>
      <c r="B84" s="7" t="s">
        <v>61</v>
      </c>
      <c r="C84" s="7" t="s">
        <v>28</v>
      </c>
      <c r="D84" s="7">
        <f>water!D52</f>
        <v>0</v>
      </c>
      <c r="E84" s="7">
        <f>glucose!D52</f>
        <v>0</v>
      </c>
      <c r="F84" s="7">
        <f>sucrose!D52</f>
        <v>0</v>
      </c>
      <c r="G84" s="7">
        <f>'milk choc'!D52</f>
        <v>0</v>
      </c>
      <c r="H84" s="13">
        <f>'milk chocolate arabinose'!D52</f>
        <v>0</v>
      </c>
      <c r="I84" s="7">
        <f>'gastic milk choc'!D52</f>
        <v>0</v>
      </c>
      <c r="J84" s="7">
        <f>'gastic milk choc arab'!D52</f>
        <v>0</v>
      </c>
      <c r="K84" s="7">
        <f>emulsie!D52</f>
        <v>0</v>
      </c>
      <c r="L84" s="7">
        <f>arabinose!D52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8">
        <v>0</v>
      </c>
      <c r="AD84" s="8">
        <v>0</v>
      </c>
      <c r="AE84" s="8">
        <v>0</v>
      </c>
    </row>
    <row r="85" spans="1:31" x14ac:dyDescent="0.3">
      <c r="A85" s="7">
        <v>61</v>
      </c>
      <c r="B85" s="7" t="s">
        <v>40</v>
      </c>
      <c r="C85" s="7" t="s">
        <v>28</v>
      </c>
      <c r="D85" s="7">
        <f>water!D53</f>
        <v>0</v>
      </c>
      <c r="E85" s="7">
        <f>glucose!D53</f>
        <v>0</v>
      </c>
      <c r="F85" s="7">
        <f>sucrose!D53</f>
        <v>0</v>
      </c>
      <c r="G85" s="7">
        <f>'milk choc'!D53</f>
        <v>9</v>
      </c>
      <c r="H85" s="13">
        <f>'milk chocolate arabinose'!D53</f>
        <v>9</v>
      </c>
      <c r="I85" s="7">
        <f>'gastic milk choc'!D53</f>
        <v>2.31</v>
      </c>
      <c r="J85" s="7">
        <f>'gastic milk choc arab'!D53</f>
        <v>2.31</v>
      </c>
      <c r="K85" s="7">
        <f>emulsie!D53</f>
        <v>0</v>
      </c>
      <c r="L85" s="7">
        <f>arabinose!D53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8">
        <v>0</v>
      </c>
      <c r="AD85" s="8">
        <v>0</v>
      </c>
      <c r="AE85" s="8">
        <v>0</v>
      </c>
    </row>
    <row r="86" spans="1:31" x14ac:dyDescent="0.3">
      <c r="A86" s="7">
        <v>62</v>
      </c>
      <c r="B86" s="7" t="s">
        <v>46</v>
      </c>
      <c r="C86" s="7" t="s">
        <v>28</v>
      </c>
      <c r="D86" s="7">
        <f>water!D54</f>
        <v>0</v>
      </c>
      <c r="E86" s="7">
        <f>glucose!D54</f>
        <v>0</v>
      </c>
      <c r="F86" s="7">
        <f>sucrose!D54</f>
        <v>0</v>
      </c>
      <c r="G86" s="7">
        <f>'milk choc'!D54</f>
        <v>0</v>
      </c>
      <c r="H86" s="13">
        <f>'milk chocolate arabinose'!D54</f>
        <v>0</v>
      </c>
      <c r="I86" s="7">
        <f>'gastic milk choc'!D54</f>
        <v>0</v>
      </c>
      <c r="J86" s="7">
        <f>'gastic milk choc arab'!D54</f>
        <v>0</v>
      </c>
      <c r="K86" s="7">
        <f>emulsie!D54</f>
        <v>0</v>
      </c>
      <c r="L86" s="7">
        <f>arabinose!D54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8">
        <v>0</v>
      </c>
      <c r="AD86" s="8">
        <v>0</v>
      </c>
      <c r="AE86" s="8">
        <v>0</v>
      </c>
    </row>
    <row r="87" spans="1:31" x14ac:dyDescent="0.3">
      <c r="A87" s="7">
        <v>63</v>
      </c>
      <c r="B87" s="7" t="s">
        <v>47</v>
      </c>
      <c r="C87" s="7" t="s">
        <v>28</v>
      </c>
      <c r="D87" s="7">
        <f>water!D55</f>
        <v>0</v>
      </c>
      <c r="E87" s="7">
        <f>glucose!D55</f>
        <v>0</v>
      </c>
      <c r="F87" s="7">
        <f>sucrose!D55</f>
        <v>0</v>
      </c>
      <c r="G87" s="7">
        <f>'milk choc'!D55</f>
        <v>0</v>
      </c>
      <c r="H87" s="13">
        <f>'milk chocolate arabinose'!D55</f>
        <v>0</v>
      </c>
      <c r="I87" s="7">
        <f>'gastic milk choc'!D55</f>
        <v>0</v>
      </c>
      <c r="J87" s="7">
        <f>'gastic milk choc arab'!D55</f>
        <v>0</v>
      </c>
      <c r="K87" s="7">
        <f>emulsie!D55</f>
        <v>0</v>
      </c>
      <c r="L87" s="7">
        <f>arabinose!D55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  <c r="AC87" s="8">
        <v>0</v>
      </c>
      <c r="AD87" s="8">
        <v>0</v>
      </c>
      <c r="AE87" s="8">
        <v>0</v>
      </c>
    </row>
    <row r="88" spans="1:31" x14ac:dyDescent="0.3">
      <c r="A88" s="7">
        <v>64</v>
      </c>
      <c r="B88" s="7" t="s">
        <v>41</v>
      </c>
      <c r="C88" s="7" t="s">
        <v>28</v>
      </c>
      <c r="D88" s="7">
        <f>water!D56</f>
        <v>0</v>
      </c>
      <c r="E88" s="7">
        <f>glucose!D56</f>
        <v>0</v>
      </c>
      <c r="F88" s="7">
        <f>sucrose!D56</f>
        <v>0</v>
      </c>
      <c r="G88" s="7">
        <f>'milk choc'!D56</f>
        <v>0</v>
      </c>
      <c r="H88" s="13">
        <f>'milk chocolate arabinose'!D56</f>
        <v>0</v>
      </c>
      <c r="I88" s="7">
        <f>'gastic milk choc'!D56</f>
        <v>0</v>
      </c>
      <c r="J88" s="7">
        <f>'gastic milk choc arab'!D56</f>
        <v>0</v>
      </c>
      <c r="K88" s="7">
        <f>emulsie!D56</f>
        <v>0</v>
      </c>
      <c r="L88" s="7">
        <f>arabinose!D56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  <c r="AC88" s="8">
        <v>0</v>
      </c>
      <c r="AD88" s="8">
        <v>0</v>
      </c>
      <c r="AE88" s="8">
        <v>0</v>
      </c>
    </row>
    <row r="89" spans="1:31" x14ac:dyDescent="0.3">
      <c r="A89" s="7">
        <v>65</v>
      </c>
      <c r="B89" s="7" t="s">
        <v>48</v>
      </c>
      <c r="C89" s="7" t="s">
        <v>28</v>
      </c>
      <c r="D89" s="7">
        <f>water!D57</f>
        <v>0</v>
      </c>
      <c r="E89" s="7">
        <f>glucose!D57</f>
        <v>0</v>
      </c>
      <c r="F89" s="7">
        <f>sucrose!D57</f>
        <v>0</v>
      </c>
      <c r="G89" s="7">
        <f>'milk choc'!D57</f>
        <v>0</v>
      </c>
      <c r="H89" s="13">
        <f>'milk chocolate arabinose'!D57</f>
        <v>0</v>
      </c>
      <c r="I89" s="7">
        <f>'gastic milk choc'!D57</f>
        <v>0</v>
      </c>
      <c r="J89" s="7">
        <f>'gastic milk choc arab'!D57</f>
        <v>0</v>
      </c>
      <c r="K89" s="7">
        <f>emulsie!D57</f>
        <v>0</v>
      </c>
      <c r="L89" s="7">
        <f>arabinose!D57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  <c r="AC89" s="8">
        <v>0</v>
      </c>
      <c r="AD89" s="8">
        <v>0</v>
      </c>
      <c r="AE89" s="8">
        <v>0</v>
      </c>
    </row>
    <row r="90" spans="1:31" x14ac:dyDescent="0.3">
      <c r="A90" s="7">
        <v>66</v>
      </c>
      <c r="B90" s="7" t="s">
        <v>5</v>
      </c>
      <c r="C90" s="7" t="s">
        <v>28</v>
      </c>
      <c r="D90" s="7">
        <f>water!D58</f>
        <v>0</v>
      </c>
      <c r="E90" s="7">
        <f>glucose!D58</f>
        <v>0</v>
      </c>
      <c r="F90" s="7">
        <f>sucrose!D58</f>
        <v>0</v>
      </c>
      <c r="G90" s="7">
        <f>'milk choc'!D58</f>
        <v>0</v>
      </c>
      <c r="H90" s="13">
        <f>'milk chocolate arabinose'!D58</f>
        <v>0</v>
      </c>
      <c r="I90" s="7">
        <f>'gastic milk choc'!D58</f>
        <v>0</v>
      </c>
      <c r="J90" s="7">
        <f>'gastic milk choc arab'!D58</f>
        <v>0</v>
      </c>
      <c r="K90" s="7">
        <f>emulsie!D58</f>
        <v>0</v>
      </c>
      <c r="L90" s="7">
        <f>arabinose!D58</f>
        <v>0</v>
      </c>
      <c r="M90" s="7">
        <v>0</v>
      </c>
      <c r="N90" s="7">
        <v>0</v>
      </c>
      <c r="O90" s="7">
        <v>0</v>
      </c>
      <c r="P90">
        <v>0</v>
      </c>
      <c r="Q90">
        <v>0</v>
      </c>
      <c r="R90" s="7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7">
        <v>0</v>
      </c>
      <c r="Y90" s="7">
        <v>0</v>
      </c>
      <c r="Z90" s="7">
        <v>0</v>
      </c>
      <c r="AA90" s="7">
        <v>0</v>
      </c>
      <c r="AB90" s="8">
        <v>0</v>
      </c>
      <c r="AC90" s="8">
        <v>0</v>
      </c>
      <c r="AD90" s="8">
        <v>0</v>
      </c>
      <c r="AE90" s="8">
        <v>0</v>
      </c>
    </row>
    <row r="91" spans="1:31" x14ac:dyDescent="0.3">
      <c r="A91" s="7">
        <v>67</v>
      </c>
      <c r="B91" s="7" t="s">
        <v>6</v>
      </c>
      <c r="C91" s="7" t="s">
        <v>28</v>
      </c>
      <c r="D91" s="7">
        <f>water!D59</f>
        <v>0</v>
      </c>
      <c r="E91" s="7">
        <f>glucose!D59</f>
        <v>0</v>
      </c>
      <c r="F91" s="7">
        <f>sucrose!D59</f>
        <v>0</v>
      </c>
      <c r="G91" s="7">
        <f>'milk choc'!D59</f>
        <v>10</v>
      </c>
      <c r="H91" s="13">
        <f>'milk chocolate arabinose'!D59</f>
        <v>10</v>
      </c>
      <c r="I91" s="7">
        <f>'gastic milk choc'!D59</f>
        <v>8.59</v>
      </c>
      <c r="J91" s="7">
        <f>'gastic milk choc arab'!D59</f>
        <v>8.59</v>
      </c>
      <c r="K91" s="7">
        <f>emulsie!D59</f>
        <v>0</v>
      </c>
      <c r="L91" s="7">
        <f>arabinose!D59</f>
        <v>0</v>
      </c>
      <c r="M91" s="7">
        <v>0</v>
      </c>
      <c r="N91" s="7">
        <v>0</v>
      </c>
      <c r="O91" s="7">
        <v>0</v>
      </c>
      <c r="P91">
        <v>0</v>
      </c>
      <c r="Q91">
        <v>0</v>
      </c>
      <c r="R91" s="7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7">
        <v>0</v>
      </c>
      <c r="Y91" s="7">
        <v>0</v>
      </c>
      <c r="Z91" s="7">
        <v>0</v>
      </c>
      <c r="AA91" s="7">
        <v>0</v>
      </c>
      <c r="AB91" s="8">
        <v>100</v>
      </c>
      <c r="AC91" s="8">
        <v>0</v>
      </c>
      <c r="AD91" s="8">
        <v>0</v>
      </c>
      <c r="AE91" s="8">
        <v>0</v>
      </c>
    </row>
    <row r="92" spans="1:31" x14ac:dyDescent="0.3">
      <c r="A92" s="7">
        <v>70</v>
      </c>
      <c r="B92" s="7" t="s">
        <v>7</v>
      </c>
      <c r="C92" s="7" t="s">
        <v>28</v>
      </c>
      <c r="D92" s="7">
        <f>water!D60</f>
        <v>0</v>
      </c>
      <c r="E92" s="7">
        <f>glucose!D60</f>
        <v>0</v>
      </c>
      <c r="F92" s="7">
        <f>sucrose!D60</f>
        <v>0</v>
      </c>
      <c r="G92" s="7">
        <f>'milk choc'!D60</f>
        <v>0</v>
      </c>
      <c r="H92" s="13">
        <f>'milk chocolate arabinose'!D60</f>
        <v>0</v>
      </c>
      <c r="I92" s="7">
        <f>'gastic milk choc'!D60</f>
        <v>0</v>
      </c>
      <c r="J92" s="7">
        <f>'gastic milk choc arab'!D60</f>
        <v>0</v>
      </c>
      <c r="K92" s="7">
        <f>emulsie!D60</f>
        <v>0</v>
      </c>
      <c r="L92" s="7">
        <f>arabinose!D60</f>
        <v>0</v>
      </c>
      <c r="M92" s="7">
        <v>0</v>
      </c>
      <c r="N92" s="7">
        <v>0</v>
      </c>
      <c r="O92" s="7">
        <v>0</v>
      </c>
      <c r="P92">
        <v>0</v>
      </c>
      <c r="Q92">
        <v>0</v>
      </c>
      <c r="R92" s="7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  <c r="AD92" s="8">
        <v>0</v>
      </c>
      <c r="AE92" s="8">
        <v>0</v>
      </c>
    </row>
    <row r="93" spans="1:31" x14ac:dyDescent="0.3">
      <c r="A93" s="7">
        <v>71</v>
      </c>
      <c r="B93" s="7" t="s">
        <v>25</v>
      </c>
      <c r="C93" s="7" t="s">
        <v>28</v>
      </c>
      <c r="D93" s="7">
        <f>water!D61</f>
        <v>0</v>
      </c>
      <c r="E93" s="7">
        <f>glucose!D61</f>
        <v>0</v>
      </c>
      <c r="F93" s="7">
        <f>sucrose!D61</f>
        <v>0</v>
      </c>
      <c r="G93" s="7">
        <f>'milk choc'!D61</f>
        <v>0</v>
      </c>
      <c r="H93" s="13">
        <f>'milk chocolate arabinose'!D61</f>
        <v>0</v>
      </c>
      <c r="I93" s="7">
        <f>'gastic milk choc'!D61</f>
        <v>0</v>
      </c>
      <c r="J93" s="7">
        <f>'gastic milk choc arab'!D61</f>
        <v>0</v>
      </c>
      <c r="K93" s="7">
        <f>emulsie!D61</f>
        <v>0</v>
      </c>
      <c r="L93" s="7">
        <f>arabinose!D61</f>
        <v>0</v>
      </c>
      <c r="M93" s="7">
        <v>0</v>
      </c>
      <c r="N93" s="7">
        <v>0</v>
      </c>
      <c r="O93" s="7">
        <v>0</v>
      </c>
      <c r="P93">
        <v>0</v>
      </c>
      <c r="Q93">
        <v>0</v>
      </c>
      <c r="R93" s="7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7">
        <v>0</v>
      </c>
      <c r="Y93" s="7">
        <v>0</v>
      </c>
      <c r="Z93" s="7">
        <v>0</v>
      </c>
      <c r="AA93" s="7">
        <v>0</v>
      </c>
      <c r="AB93" s="8">
        <v>0</v>
      </c>
      <c r="AC93" s="8">
        <v>0</v>
      </c>
      <c r="AD93" s="8">
        <v>0</v>
      </c>
      <c r="AE93" s="8">
        <v>0</v>
      </c>
    </row>
    <row r="94" spans="1:31" x14ac:dyDescent="0.3">
      <c r="A94">
        <v>75</v>
      </c>
      <c r="B94" t="s">
        <v>112</v>
      </c>
      <c r="C94" t="s">
        <v>111</v>
      </c>
      <c r="D94" s="7">
        <v>0</v>
      </c>
      <c r="E94" s="7">
        <v>0</v>
      </c>
      <c r="F94" s="7">
        <v>0</v>
      </c>
      <c r="G94" s="7">
        <v>0</v>
      </c>
      <c r="H94" s="13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>
        <v>0</v>
      </c>
      <c r="Q94">
        <v>0</v>
      </c>
      <c r="R94" s="7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7">
        <v>0</v>
      </c>
      <c r="Y94" s="7">
        <v>0</v>
      </c>
      <c r="Z94" s="7">
        <v>0</v>
      </c>
      <c r="AA94" s="7">
        <v>0</v>
      </c>
      <c r="AB94" s="8">
        <v>0</v>
      </c>
      <c r="AC94" s="8">
        <v>100</v>
      </c>
      <c r="AD94" s="8">
        <v>0</v>
      </c>
      <c r="AE94" s="8">
        <v>0</v>
      </c>
    </row>
    <row r="95" spans="1:31" x14ac:dyDescent="0.3">
      <c r="A95">
        <v>76</v>
      </c>
      <c r="B95" t="s">
        <v>113</v>
      </c>
      <c r="C95" s="7" t="s">
        <v>111</v>
      </c>
      <c r="D95" s="7">
        <v>0</v>
      </c>
      <c r="E95" s="7">
        <v>0</v>
      </c>
      <c r="F95" s="7">
        <v>0</v>
      </c>
      <c r="G95" s="7">
        <v>0</v>
      </c>
      <c r="H95" s="13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>
        <v>0</v>
      </c>
      <c r="Q95">
        <v>0</v>
      </c>
      <c r="R95" s="7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7">
        <v>0</v>
      </c>
      <c r="Y95" s="7">
        <v>0</v>
      </c>
      <c r="Z95" s="7">
        <v>0</v>
      </c>
      <c r="AA95" s="7">
        <v>0</v>
      </c>
      <c r="AB95" s="8">
        <v>0</v>
      </c>
      <c r="AC95" s="8">
        <v>0</v>
      </c>
      <c r="AD95" s="8">
        <v>100</v>
      </c>
      <c r="AE95" s="8">
        <v>0</v>
      </c>
    </row>
    <row r="96" spans="1:31" x14ac:dyDescent="0.3">
      <c r="A96">
        <v>77</v>
      </c>
      <c r="B96" t="s">
        <v>114</v>
      </c>
      <c r="C96" s="7" t="s">
        <v>111</v>
      </c>
      <c r="D96" s="7">
        <v>0</v>
      </c>
      <c r="E96" s="7">
        <v>0</v>
      </c>
      <c r="F96" s="7">
        <v>0</v>
      </c>
      <c r="G96" s="7">
        <v>0</v>
      </c>
      <c r="H96" s="13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>
        <v>0</v>
      </c>
      <c r="Q96">
        <v>0</v>
      </c>
      <c r="R96" s="7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7">
        <v>0</v>
      </c>
      <c r="Y96" s="7">
        <v>0</v>
      </c>
      <c r="Z96" s="7">
        <v>0</v>
      </c>
      <c r="AA96" s="7">
        <v>0</v>
      </c>
      <c r="AB96" s="8">
        <v>0</v>
      </c>
      <c r="AC96" s="8">
        <v>0</v>
      </c>
      <c r="AD96" s="8">
        <v>0</v>
      </c>
      <c r="AE96" s="8">
        <v>100</v>
      </c>
    </row>
    <row r="97" spans="1:31" x14ac:dyDescent="0.3">
      <c r="A97" s="7">
        <v>78</v>
      </c>
      <c r="B97" s="7" t="s">
        <v>49</v>
      </c>
      <c r="C97" s="7" t="s">
        <v>28</v>
      </c>
      <c r="D97" s="7">
        <f>water!D62</f>
        <v>0</v>
      </c>
      <c r="E97" s="7">
        <f>glucose!D62</f>
        <v>0</v>
      </c>
      <c r="F97" s="7">
        <f>sucrose!D62</f>
        <v>0</v>
      </c>
      <c r="G97" s="7">
        <f>'milk choc'!D62</f>
        <v>0</v>
      </c>
      <c r="H97" s="13">
        <f>'milk chocolate arabinose'!D62</f>
        <v>0</v>
      </c>
      <c r="I97" s="7">
        <f>'gastic milk choc'!D62</f>
        <v>0</v>
      </c>
      <c r="J97" s="7">
        <f>'gastic milk choc arab'!D62</f>
        <v>0</v>
      </c>
      <c r="K97" s="7">
        <f>emulsie!D62</f>
        <v>0</v>
      </c>
      <c r="L97" s="7">
        <f>arabinose!D62</f>
        <v>0</v>
      </c>
      <c r="M97" s="7">
        <v>0</v>
      </c>
      <c r="N97" s="7">
        <v>0</v>
      </c>
      <c r="O97" s="7">
        <v>0</v>
      </c>
      <c r="P97">
        <v>0</v>
      </c>
      <c r="Q97">
        <v>0</v>
      </c>
      <c r="R97" s="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7">
        <v>0</v>
      </c>
      <c r="Y97" s="7">
        <v>0</v>
      </c>
      <c r="Z97" s="7">
        <v>0</v>
      </c>
      <c r="AA97" s="7">
        <v>0</v>
      </c>
      <c r="AB97" s="8">
        <v>0</v>
      </c>
      <c r="AC97" s="8">
        <v>0</v>
      </c>
      <c r="AD97" s="8">
        <v>0</v>
      </c>
      <c r="AE97" s="8">
        <v>0</v>
      </c>
    </row>
    <row r="98" spans="1:31" x14ac:dyDescent="0.3">
      <c r="A98" s="7">
        <v>79</v>
      </c>
      <c r="B98" s="7" t="s">
        <v>50</v>
      </c>
      <c r="C98" s="7" t="s">
        <v>28</v>
      </c>
      <c r="D98" s="7">
        <f>water!D63</f>
        <v>0</v>
      </c>
      <c r="E98" s="7">
        <f>glucose!D63</f>
        <v>0</v>
      </c>
      <c r="F98" s="7">
        <f>sucrose!D63</f>
        <v>0</v>
      </c>
      <c r="G98" s="7">
        <f>'milk choc'!D63</f>
        <v>0</v>
      </c>
      <c r="H98" s="13">
        <f>'milk chocolate arabinose'!D63</f>
        <v>0</v>
      </c>
      <c r="I98" s="7">
        <f>'gastic milk choc'!D63</f>
        <v>0</v>
      </c>
      <c r="J98" s="7">
        <f>'gastic milk choc arab'!D63</f>
        <v>0</v>
      </c>
      <c r="K98" s="7">
        <f>emulsie!D63</f>
        <v>0</v>
      </c>
      <c r="L98" s="7">
        <f>arabinose!D63</f>
        <v>0</v>
      </c>
      <c r="M98" s="7">
        <v>0</v>
      </c>
      <c r="N98" s="7">
        <v>0</v>
      </c>
      <c r="O98" s="7">
        <v>0</v>
      </c>
      <c r="P98">
        <v>0</v>
      </c>
      <c r="Q98">
        <v>0</v>
      </c>
      <c r="R98" s="7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7">
        <v>0</v>
      </c>
      <c r="Y98" s="7">
        <v>0</v>
      </c>
      <c r="Z98" s="7">
        <v>0</v>
      </c>
      <c r="AA98" s="7">
        <v>0</v>
      </c>
      <c r="AB98" s="8">
        <v>0</v>
      </c>
      <c r="AC98" s="8">
        <v>0</v>
      </c>
      <c r="AD98" s="8">
        <v>0</v>
      </c>
      <c r="AE98" s="8">
        <v>0</v>
      </c>
    </row>
    <row r="99" spans="1:31" x14ac:dyDescent="0.3">
      <c r="A99" s="7">
        <v>80</v>
      </c>
      <c r="B99" s="7" t="s">
        <v>64</v>
      </c>
      <c r="C99" s="7" t="s">
        <v>51</v>
      </c>
      <c r="D99" s="7">
        <f>water!D64</f>
        <v>0</v>
      </c>
      <c r="E99" s="7">
        <f>glucose!D64</f>
        <v>0</v>
      </c>
      <c r="F99" s="7">
        <f>sucrose!D64</f>
        <v>0</v>
      </c>
      <c r="G99" s="7">
        <f>'milk choc'!D64</f>
        <v>0</v>
      </c>
      <c r="H99" s="13">
        <f>'milk chocolate arabinose'!D64</f>
        <v>0</v>
      </c>
      <c r="I99" s="7">
        <f>'gastic milk choc'!D64</f>
        <v>0</v>
      </c>
      <c r="J99" s="7">
        <f>'gastic milk choc arab'!D64</f>
        <v>0</v>
      </c>
      <c r="K99" s="7">
        <f>emulsie!D64</f>
        <v>0</v>
      </c>
      <c r="L99" s="7">
        <f>arabinose!D64</f>
        <v>0</v>
      </c>
      <c r="M99" s="7">
        <v>0</v>
      </c>
      <c r="N99" s="7">
        <v>0</v>
      </c>
      <c r="O99" s="7">
        <v>0</v>
      </c>
      <c r="P99">
        <v>0</v>
      </c>
      <c r="Q99">
        <v>0</v>
      </c>
      <c r="R99" s="7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7">
        <v>0</v>
      </c>
      <c r="Y99" s="7">
        <v>0</v>
      </c>
      <c r="Z99" s="7">
        <v>0</v>
      </c>
      <c r="AA99" s="7">
        <v>0</v>
      </c>
      <c r="AB99" s="8">
        <v>0</v>
      </c>
      <c r="AC99" s="8">
        <v>0</v>
      </c>
      <c r="AD99" s="8">
        <v>0</v>
      </c>
      <c r="AE99" s="8">
        <v>0</v>
      </c>
    </row>
    <row r="100" spans="1:31" x14ac:dyDescent="0.3">
      <c r="A100" s="7">
        <v>0</v>
      </c>
      <c r="D100" s="7">
        <f t="shared" ref="D100:L100" si="0">SUM(D53:D99)</f>
        <v>100</v>
      </c>
      <c r="E100" s="7">
        <f t="shared" si="0"/>
        <v>100</v>
      </c>
      <c r="F100" s="7">
        <f t="shared" si="0"/>
        <v>100</v>
      </c>
      <c r="G100" s="7">
        <f t="shared" si="0"/>
        <v>100.31</v>
      </c>
      <c r="H100" s="7">
        <f t="shared" si="0"/>
        <v>100.41</v>
      </c>
      <c r="I100" s="7">
        <f t="shared" si="0"/>
        <v>99.83</v>
      </c>
      <c r="J100" s="7">
        <f t="shared" si="0"/>
        <v>99.83</v>
      </c>
      <c r="K100" s="7">
        <f t="shared" si="0"/>
        <v>100</v>
      </c>
      <c r="L100" s="7">
        <f t="shared" si="0"/>
        <v>100</v>
      </c>
      <c r="M100" s="7">
        <f>SUM(M53:M99)</f>
        <v>99</v>
      </c>
      <c r="N100" s="7">
        <f t="shared" ref="N100:AE100" si="1">SUM(N53:N99)</f>
        <v>99</v>
      </c>
      <c r="O100" s="7">
        <f t="shared" si="1"/>
        <v>99</v>
      </c>
      <c r="P100">
        <f t="shared" si="1"/>
        <v>98</v>
      </c>
      <c r="Q100">
        <f t="shared" si="1"/>
        <v>98</v>
      </c>
      <c r="R100" s="7">
        <f t="shared" si="1"/>
        <v>132</v>
      </c>
      <c r="S100">
        <f t="shared" ref="S100" si="2">SUM(S53:S99)</f>
        <v>132</v>
      </c>
      <c r="T100">
        <v>132</v>
      </c>
      <c r="U100">
        <f t="shared" ref="U100:AA100" si="3">SUM(U53:U99)</f>
        <v>113</v>
      </c>
      <c r="V100">
        <f t="shared" ref="V100" si="4">SUM(V53:V99)</f>
        <v>113</v>
      </c>
      <c r="W100">
        <v>119</v>
      </c>
      <c r="X100" s="7">
        <f t="shared" si="3"/>
        <v>100</v>
      </c>
      <c r="Y100" s="7">
        <f t="shared" si="3"/>
        <v>100</v>
      </c>
      <c r="Z100" s="7">
        <f t="shared" si="3"/>
        <v>100</v>
      </c>
      <c r="AA100" s="7">
        <f t="shared" si="3"/>
        <v>100</v>
      </c>
      <c r="AB100" s="7">
        <f t="shared" si="1"/>
        <v>100</v>
      </c>
      <c r="AC100" s="7">
        <f t="shared" si="1"/>
        <v>100</v>
      </c>
      <c r="AD100" s="7">
        <f t="shared" si="1"/>
        <v>100</v>
      </c>
      <c r="AE100" s="7">
        <f t="shared" si="1"/>
        <v>100</v>
      </c>
    </row>
    <row r="101" spans="1:31" x14ac:dyDescent="0.3">
      <c r="B101" s="7" t="s">
        <v>88</v>
      </c>
      <c r="C101" s="7" t="s">
        <v>91</v>
      </c>
      <c r="D101" s="7">
        <f>water!D66</f>
        <v>1</v>
      </c>
      <c r="E101" s="7">
        <f>glucose!D66</f>
        <v>1.44</v>
      </c>
      <c r="F101" s="7">
        <f>sucrose!D66</f>
        <v>1.44</v>
      </c>
      <c r="G101" s="7">
        <f>'milk choc'!D66</f>
        <v>1.3</v>
      </c>
      <c r="H101" s="13">
        <f>'milk chocolate arabinose'!D66</f>
        <v>1.3</v>
      </c>
      <c r="I101" s="7">
        <f>'gastic milk choc'!D66</f>
        <v>1.2</v>
      </c>
      <c r="J101" s="7">
        <f>'gastic milk choc arab'!D66</f>
        <v>1.2</v>
      </c>
      <c r="K101" s="7">
        <f>emulsie!D66</f>
        <v>0.95</v>
      </c>
      <c r="L101" s="7">
        <f>arabinose!D66</f>
        <v>1.44</v>
      </c>
      <c r="M101" s="7">
        <v>1.44</v>
      </c>
      <c r="N101" s="7">
        <v>1.44</v>
      </c>
      <c r="O101" s="7">
        <v>1.44</v>
      </c>
      <c r="P101">
        <v>1.4</v>
      </c>
      <c r="Q101">
        <v>1.4</v>
      </c>
      <c r="R101" s="7">
        <v>1.4</v>
      </c>
      <c r="S101">
        <v>1.4</v>
      </c>
      <c r="T101">
        <v>1.4</v>
      </c>
      <c r="U101">
        <v>1.4</v>
      </c>
      <c r="V101">
        <v>1.4</v>
      </c>
      <c r="W101">
        <v>1.4</v>
      </c>
      <c r="X101" s="7">
        <v>1</v>
      </c>
      <c r="Y101" s="7">
        <v>1</v>
      </c>
      <c r="Z101" s="7">
        <v>1</v>
      </c>
      <c r="AA101" s="7">
        <v>1</v>
      </c>
      <c r="AB101" s="8">
        <v>1.4</v>
      </c>
      <c r="AC101" s="8">
        <v>1.4</v>
      </c>
      <c r="AD101" s="8">
        <v>1.4</v>
      </c>
      <c r="AE101" s="8">
        <v>1.4</v>
      </c>
    </row>
  </sheetData>
  <hyperlinks>
    <hyperlink ref="D31" location="water!A1" display="water" xr:uid="{00000000-0004-0000-0000-000000000000}"/>
    <hyperlink ref="E31" location="glucose!A1" display="glucose" xr:uid="{00000000-0004-0000-0000-000001000000}"/>
    <hyperlink ref="F31" location="sucrose!A1" display="sucrose" xr:uid="{00000000-0004-0000-0000-000002000000}"/>
    <hyperlink ref="G31" location="'milk choc'!A1" display="milk choc" xr:uid="{00000000-0004-0000-0000-000003000000}"/>
    <hyperlink ref="H31" location="'milk chocolate arabinose'!A1" display="milk choc arab" xr:uid="{00000000-0004-0000-0000-000004000000}"/>
    <hyperlink ref="I31" location="'gastic milk choc'!A1" display="'gastic milk choc'!A1" xr:uid="{00000000-0004-0000-0000-000005000000}"/>
    <hyperlink ref="J31" location="'gastic milk choc arab'!A1" display="'gastic milk choc arab'!A1" xr:uid="{00000000-0004-0000-0000-000006000000}"/>
    <hyperlink ref="K31" location="emulsie!A1" display="emulsie" xr:uid="{00000000-0004-0000-0000-000007000000}"/>
    <hyperlink ref="L31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2024-09-17T19:10:33Z</dcterms:modified>
</cp:coreProperties>
</file>