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2" documentId="8_{755BC1A4-EA28-44CD-85D5-EF87ACEB6A93}" xr6:coauthVersionLast="47" xr6:coauthVersionMax="47" xr10:uidLastSave="{F894159D-0AE4-4D2E-B79B-8AB8D318F812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2" i="3" l="1"/>
  <c r="AE82" i="3"/>
  <c r="AD82" i="3"/>
  <c r="AC82" i="3"/>
  <c r="V82" i="3"/>
  <c r="S82" i="3"/>
  <c r="AA82" i="3" l="1"/>
  <c r="Z82" i="3"/>
  <c r="Y82" i="3"/>
  <c r="X82" i="3"/>
  <c r="U82" i="3"/>
  <c r="R82" i="3"/>
  <c r="AB82" i="3" l="1"/>
  <c r="Q82" i="3" l="1"/>
  <c r="P82" i="3"/>
  <c r="O82" i="3"/>
  <c r="N82" i="3"/>
  <c r="M82" i="3"/>
  <c r="D55" i="3" l="1"/>
  <c r="E55" i="3"/>
  <c r="F55" i="3"/>
  <c r="G55" i="3"/>
  <c r="H55" i="3"/>
  <c r="I55" i="3"/>
  <c r="J55" i="3"/>
  <c r="K55" i="3"/>
  <c r="L5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3" i="3" l="1"/>
  <c r="L81" i="3"/>
  <c r="L80" i="3"/>
  <c r="L79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1" i="3"/>
  <c r="L50" i="3"/>
  <c r="L49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1" i="3"/>
  <c r="L30" i="3"/>
  <c r="L29" i="3"/>
  <c r="L28" i="3"/>
  <c r="L26" i="3"/>
  <c r="L25" i="3"/>
  <c r="L24" i="3"/>
  <c r="L23" i="3"/>
  <c r="L21" i="3"/>
  <c r="L20" i="3"/>
  <c r="L19" i="3"/>
  <c r="L18" i="3"/>
  <c r="L16" i="3"/>
  <c r="L15" i="3"/>
  <c r="L1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2" i="3" l="1"/>
  <c r="K83" i="3"/>
  <c r="J83" i="3"/>
  <c r="I83" i="3"/>
  <c r="H83" i="3"/>
  <c r="G83" i="3"/>
  <c r="F83" i="3"/>
  <c r="E83" i="3"/>
  <c r="D83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D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F28" i="3"/>
  <c r="E28" i="3"/>
  <c r="D28" i="3"/>
  <c r="K27" i="3"/>
  <c r="K26" i="3"/>
  <c r="J26" i="3"/>
  <c r="I26" i="3"/>
  <c r="H26" i="3"/>
  <c r="G26" i="3"/>
  <c r="F26" i="3"/>
  <c r="E26" i="3"/>
  <c r="D26" i="3"/>
  <c r="K25" i="3"/>
  <c r="J25" i="3"/>
  <c r="I25" i="3"/>
  <c r="H25" i="3"/>
  <c r="G25" i="3"/>
  <c r="F25" i="3"/>
  <c r="E25" i="3"/>
  <c r="D25" i="3"/>
  <c r="K24" i="3"/>
  <c r="J24" i="3"/>
  <c r="I24" i="3"/>
  <c r="F24" i="3"/>
  <c r="E24" i="3"/>
  <c r="D24" i="3"/>
  <c r="K23" i="3"/>
  <c r="J23" i="3"/>
  <c r="I23" i="3"/>
  <c r="G23" i="3"/>
  <c r="F23" i="3"/>
  <c r="E23" i="3"/>
  <c r="D23" i="3"/>
  <c r="K22" i="3"/>
  <c r="K21" i="3"/>
  <c r="J21" i="3"/>
  <c r="I21" i="3"/>
  <c r="H21" i="3"/>
  <c r="G21" i="3"/>
  <c r="F21" i="3"/>
  <c r="E21" i="3"/>
  <c r="D21" i="3"/>
  <c r="K20" i="3"/>
  <c r="J20" i="3"/>
  <c r="I20" i="3"/>
  <c r="H20" i="3"/>
  <c r="G20" i="3"/>
  <c r="F20" i="3"/>
  <c r="E20" i="3"/>
  <c r="D20" i="3"/>
  <c r="K19" i="3"/>
  <c r="J19" i="3"/>
  <c r="I19" i="3"/>
  <c r="F19" i="3"/>
  <c r="E19" i="3"/>
  <c r="D19" i="3"/>
  <c r="K18" i="3"/>
  <c r="J18" i="3"/>
  <c r="I18" i="3"/>
  <c r="G18" i="3"/>
  <c r="F18" i="3"/>
  <c r="E18" i="3"/>
  <c r="D18" i="3"/>
  <c r="K17" i="3"/>
  <c r="K16" i="3"/>
  <c r="H16" i="3"/>
  <c r="G16" i="3"/>
  <c r="F16" i="3"/>
  <c r="E16" i="3"/>
  <c r="D16" i="3"/>
  <c r="K15" i="3"/>
  <c r="H15" i="3"/>
  <c r="G15" i="3"/>
  <c r="D15" i="3"/>
  <c r="I82" i="3" l="1"/>
  <c r="D82" i="3"/>
  <c r="E82" i="3"/>
  <c r="G82" i="3"/>
  <c r="F82" i="3"/>
  <c r="H82" i="3"/>
  <c r="J82" i="3"/>
  <c r="K82" i="3"/>
  <c r="K1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4" i="3" l="1"/>
  <c r="I1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4" i="3" l="1"/>
  <c r="G14" i="3"/>
  <c r="F14" i="3"/>
  <c r="E14" i="3"/>
  <c r="D1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<sst xmlns="http://schemas.openxmlformats.org/spreadsheetml/2006/main" count="1114" uniqueCount="115">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</sst>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3"/>
  <sheetViews>
    <sheetView tabSelected="1" topLeftCell="K9" workbookViewId="0">
      <selection activeCell="AF15" sqref="AF15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29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28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1000</v>
      </c>
      <c r="B9" s="9">
        <v>1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9">
        <v>9999</v>
      </c>
      <c r="B10" s="8"/>
    </row>
    <row r="11" spans="1:39" x14ac:dyDescent="0.3">
      <c r="B11" s="8"/>
      <c r="C11" s="8"/>
    </row>
    <row r="12" spans="1:39" s="8" customFormat="1" ht="18" x14ac:dyDescent="0.35">
      <c r="A12" s="12" t="s">
        <v>72</v>
      </c>
      <c r="C12" s="8" t="s">
        <v>68</v>
      </c>
      <c r="D12" s="12">
        <v>1</v>
      </c>
      <c r="E12" s="12">
        <v>2</v>
      </c>
      <c r="F12" s="12">
        <v>3</v>
      </c>
      <c r="G12" s="12">
        <v>4</v>
      </c>
      <c r="H12" s="12">
        <v>5</v>
      </c>
      <c r="I12" s="12">
        <v>6</v>
      </c>
      <c r="J12" s="12">
        <v>7</v>
      </c>
      <c r="K12" s="12">
        <v>8</v>
      </c>
      <c r="L12" s="12">
        <v>9</v>
      </c>
      <c r="M12" s="12">
        <v>10</v>
      </c>
      <c r="N12" s="12">
        <v>11</v>
      </c>
      <c r="O12" s="12">
        <v>12</v>
      </c>
      <c r="P12" s="12">
        <v>13</v>
      </c>
      <c r="Q12" s="12">
        <v>14</v>
      </c>
      <c r="R12" s="12">
        <v>15</v>
      </c>
      <c r="S12" s="12">
        <v>16</v>
      </c>
      <c r="T12" s="12">
        <v>17</v>
      </c>
      <c r="U12" s="12">
        <v>18</v>
      </c>
      <c r="V12" s="12">
        <v>19</v>
      </c>
      <c r="W12" s="12">
        <v>20</v>
      </c>
      <c r="X12" s="12">
        <v>21</v>
      </c>
      <c r="Y12" s="12">
        <v>22</v>
      </c>
      <c r="Z12" s="12">
        <v>23</v>
      </c>
      <c r="AA12" s="12">
        <v>24</v>
      </c>
      <c r="AB12" s="12">
        <v>25</v>
      </c>
      <c r="AC12" s="12">
        <v>26</v>
      </c>
      <c r="AD12" s="12">
        <v>27</v>
      </c>
      <c r="AE12" s="12">
        <v>28</v>
      </c>
      <c r="AF12" s="12">
        <v>29</v>
      </c>
      <c r="AG12" s="12">
        <v>9999</v>
      </c>
    </row>
    <row r="13" spans="1:39" x14ac:dyDescent="0.3">
      <c r="A13" s="8" t="s">
        <v>75</v>
      </c>
      <c r="B13" s="8"/>
      <c r="C13" s="8"/>
      <c r="D13" s="11" t="s">
        <v>8</v>
      </c>
      <c r="E13" s="11" t="s">
        <v>2</v>
      </c>
      <c r="F13" s="11" t="s">
        <v>4</v>
      </c>
      <c r="G13" s="11" t="s">
        <v>73</v>
      </c>
      <c r="H13" s="11" t="s">
        <v>74</v>
      </c>
      <c r="I13" s="10" t="s">
        <v>84</v>
      </c>
      <c r="J13" s="10" t="s">
        <v>85</v>
      </c>
      <c r="K13" s="10" t="s">
        <v>87</v>
      </c>
      <c r="L13" s="11" t="s">
        <v>38</v>
      </c>
      <c r="M13" s="8" t="s">
        <v>94</v>
      </c>
      <c r="N13" s="8" t="s">
        <v>95</v>
      </c>
      <c r="O13" s="8" t="s">
        <v>97</v>
      </c>
      <c r="P13" s="8" t="s">
        <v>99</v>
      </c>
      <c r="Q13" s="8" t="s">
        <v>98</v>
      </c>
      <c r="R13" s="17" t="s">
        <v>105</v>
      </c>
      <c r="S13" s="18" t="s">
        <v>107</v>
      </c>
      <c r="T13" s="18" t="s">
        <v>108</v>
      </c>
      <c r="U13" s="19" t="s">
        <v>106</v>
      </c>
      <c r="V13" s="19" t="s">
        <v>109</v>
      </c>
      <c r="W13" s="19" t="s">
        <v>110</v>
      </c>
      <c r="X13" t="s">
        <v>8</v>
      </c>
      <c r="Y13" t="s">
        <v>8</v>
      </c>
      <c r="Z13" t="s">
        <v>8</v>
      </c>
      <c r="AA13" t="s">
        <v>8</v>
      </c>
      <c r="AB13" s="1" t="s">
        <v>6</v>
      </c>
      <c r="AC13" s="1" t="s">
        <v>112</v>
      </c>
      <c r="AD13" s="1" t="s">
        <v>113</v>
      </c>
      <c r="AE13" s="1" t="s">
        <v>114</v>
      </c>
      <c r="AF13" s="1" t="s">
        <v>6</v>
      </c>
    </row>
    <row r="14" spans="1:39" x14ac:dyDescent="0.3">
      <c r="A14" s="7" t="s">
        <v>1</v>
      </c>
      <c r="C14" s="7" t="s">
        <v>43</v>
      </c>
      <c r="D14" s="7">
        <f>water!D4</f>
        <v>7</v>
      </c>
      <c r="E14" s="7">
        <f>glucose!D4</f>
        <v>7</v>
      </c>
      <c r="F14" s="7">
        <f>sucrose!D4</f>
        <v>7</v>
      </c>
      <c r="G14" s="7">
        <f>'milk choc'!D4</f>
        <v>7</v>
      </c>
      <c r="H14" s="13">
        <f>'milk chocolate arabinose'!D4</f>
        <v>7</v>
      </c>
      <c r="I14" s="7">
        <f>'gastic milk choc'!D4</f>
        <v>7</v>
      </c>
      <c r="J14" s="7">
        <f>'gastic milk choc arab'!D4</f>
        <v>7</v>
      </c>
      <c r="K14" s="7">
        <f>emulsie!D4</f>
        <v>7</v>
      </c>
      <c r="L14" s="7">
        <f>arabinose!D4</f>
        <v>7</v>
      </c>
      <c r="M14" s="7">
        <v>7</v>
      </c>
      <c r="N14" s="7">
        <v>7</v>
      </c>
      <c r="O14" s="7">
        <v>7</v>
      </c>
      <c r="P14">
        <v>7</v>
      </c>
      <c r="Q14">
        <v>7</v>
      </c>
      <c r="R14" s="17">
        <v>7</v>
      </c>
      <c r="S14" s="17">
        <v>7</v>
      </c>
      <c r="T14" s="17">
        <v>7</v>
      </c>
      <c r="U14" s="19">
        <v>7</v>
      </c>
      <c r="V14" s="19">
        <v>7</v>
      </c>
      <c r="W14" s="19">
        <v>7</v>
      </c>
      <c r="X14">
        <v>0</v>
      </c>
      <c r="Y14">
        <v>0</v>
      </c>
      <c r="Z14">
        <v>0</v>
      </c>
      <c r="AA14">
        <v>0</v>
      </c>
      <c r="AB14" s="8">
        <v>7</v>
      </c>
      <c r="AC14" s="8">
        <v>7</v>
      </c>
      <c r="AD14" s="8">
        <v>7</v>
      </c>
      <c r="AE14" s="8">
        <v>7</v>
      </c>
      <c r="AF14" s="8">
        <v>7</v>
      </c>
    </row>
    <row r="15" spans="1:39" x14ac:dyDescent="0.3">
      <c r="A15" s="7" t="s">
        <v>42</v>
      </c>
      <c r="C15" s="7" t="s">
        <v>104</v>
      </c>
      <c r="D15" s="7">
        <f>water!D5</f>
        <v>0</v>
      </c>
      <c r="E15" s="7">
        <v>1</v>
      </c>
      <c r="F15" s="7">
        <v>1</v>
      </c>
      <c r="G15" s="7">
        <f>'milk choc'!D5</f>
        <v>1</v>
      </c>
      <c r="H15" s="13">
        <f>'milk chocolate arabinose'!D5</f>
        <v>1</v>
      </c>
      <c r="I15" s="7">
        <v>0</v>
      </c>
      <c r="J15" s="7">
        <v>0</v>
      </c>
      <c r="K15" s="7">
        <f>emulsie!D5</f>
        <v>0</v>
      </c>
      <c r="L15" s="7">
        <f>arabinose!D5</f>
        <v>1</v>
      </c>
      <c r="M15" s="7">
        <v>2</v>
      </c>
      <c r="N15" s="7">
        <v>1</v>
      </c>
      <c r="O15" s="7">
        <v>1</v>
      </c>
      <c r="P15">
        <v>1</v>
      </c>
      <c r="Q15">
        <v>1</v>
      </c>
      <c r="R15" s="17">
        <v>20</v>
      </c>
      <c r="S15" s="17">
        <v>5</v>
      </c>
      <c r="T15" s="17">
        <v>1</v>
      </c>
      <c r="U15" s="19">
        <v>20</v>
      </c>
      <c r="V15" s="19">
        <v>5</v>
      </c>
      <c r="W15" s="19">
        <v>1</v>
      </c>
      <c r="X15">
        <v>0</v>
      </c>
      <c r="Y15">
        <v>0</v>
      </c>
      <c r="Z15">
        <v>0</v>
      </c>
      <c r="AA15">
        <v>0</v>
      </c>
      <c r="AB15" s="8">
        <v>1</v>
      </c>
      <c r="AC15" s="8">
        <v>0</v>
      </c>
      <c r="AD15" s="8">
        <v>0</v>
      </c>
      <c r="AE15" s="8">
        <v>0</v>
      </c>
      <c r="AF15" s="8">
        <v>1</v>
      </c>
    </row>
    <row r="16" spans="1:39" x14ac:dyDescent="0.3">
      <c r="A16" s="7" t="s">
        <v>44</v>
      </c>
      <c r="C16" s="7" t="s">
        <v>45</v>
      </c>
      <c r="D16" s="7">
        <f>water!D6</f>
        <v>1</v>
      </c>
      <c r="E16" s="7">
        <f>glucose!D6</f>
        <v>1</v>
      </c>
      <c r="F16" s="7">
        <f>sucrose!D6</f>
        <v>1</v>
      </c>
      <c r="G16" s="7">
        <f>'milk choc'!D6</f>
        <v>1</v>
      </c>
      <c r="H16" s="13">
        <f>'milk chocolate arabinose'!D6</f>
        <v>1</v>
      </c>
      <c r="I16" s="7">
        <v>1000</v>
      </c>
      <c r="J16" s="7">
        <v>1000</v>
      </c>
      <c r="K16" s="7">
        <f>emulsie!D6</f>
        <v>1</v>
      </c>
      <c r="L16" s="7">
        <f>arabinose!D6</f>
        <v>1</v>
      </c>
      <c r="M16" s="7">
        <v>1000</v>
      </c>
      <c r="N16" s="7">
        <v>1</v>
      </c>
      <c r="O16" s="7">
        <v>1</v>
      </c>
      <c r="P16">
        <v>10000</v>
      </c>
      <c r="Q16">
        <v>10000</v>
      </c>
      <c r="R16" s="17">
        <v>1000</v>
      </c>
      <c r="S16" s="17">
        <v>10</v>
      </c>
      <c r="T16" s="17">
        <v>10</v>
      </c>
      <c r="U16" s="19">
        <v>1000</v>
      </c>
      <c r="V16" s="19">
        <v>10</v>
      </c>
      <c r="W16" s="19">
        <v>10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1</v>
      </c>
    </row>
    <row r="17" spans="1:33" s="1" customFormat="1" x14ac:dyDescent="0.3">
      <c r="A17" s="1" t="s">
        <v>34</v>
      </c>
      <c r="C17" s="1" t="s">
        <v>27</v>
      </c>
      <c r="D17" s="1">
        <v>0.1</v>
      </c>
      <c r="E17" s="1">
        <v>0.1</v>
      </c>
      <c r="F17" s="1">
        <v>0.1</v>
      </c>
      <c r="G17" s="1">
        <v>1</v>
      </c>
      <c r="H17" s="15">
        <v>1</v>
      </c>
      <c r="I17" s="1">
        <v>5</v>
      </c>
      <c r="J17" s="1">
        <v>5</v>
      </c>
      <c r="K17" s="1">
        <f>emulsie!D7</f>
        <v>1</v>
      </c>
      <c r="L17" s="1">
        <v>0.1</v>
      </c>
      <c r="M17" s="1">
        <v>10</v>
      </c>
      <c r="N17" s="1">
        <v>50</v>
      </c>
      <c r="O17" s="1">
        <v>1</v>
      </c>
      <c r="P17" s="1">
        <v>10</v>
      </c>
      <c r="Q17" s="1">
        <v>20</v>
      </c>
      <c r="R17" s="18">
        <v>0.5</v>
      </c>
      <c r="S17" s="18">
        <v>50</v>
      </c>
      <c r="T17" s="18">
        <v>50</v>
      </c>
      <c r="U17" s="20">
        <v>0.5</v>
      </c>
      <c r="V17" s="20">
        <v>50</v>
      </c>
      <c r="W17" s="20">
        <v>50</v>
      </c>
      <c r="X17" s="1">
        <v>0.1</v>
      </c>
      <c r="Y17" s="1">
        <v>0.1</v>
      </c>
      <c r="Z17" s="1">
        <v>0.1</v>
      </c>
      <c r="AA17" s="1">
        <v>0.1</v>
      </c>
      <c r="AB17" s="1">
        <v>0.1</v>
      </c>
      <c r="AC17" s="1">
        <v>0.1</v>
      </c>
      <c r="AD17" s="1">
        <v>0.1</v>
      </c>
      <c r="AE17" s="1">
        <v>0.1</v>
      </c>
      <c r="AF17" s="1">
        <v>0.1</v>
      </c>
    </row>
    <row r="18" spans="1:33" x14ac:dyDescent="0.3">
      <c r="C18" s="7" t="s">
        <v>80</v>
      </c>
      <c r="D18" s="7">
        <f>water!D8</f>
        <v>0</v>
      </c>
      <c r="E18" s="7">
        <f>glucose!D8</f>
        <v>0</v>
      </c>
      <c r="F18" s="7">
        <f>sucrose!D8</f>
        <v>0</v>
      </c>
      <c r="G18" s="7">
        <f>'milk choc'!D8</f>
        <v>6</v>
      </c>
      <c r="H18" s="13">
        <v>7</v>
      </c>
      <c r="I18" s="7">
        <f>'gastic milk choc'!D8</f>
        <v>0</v>
      </c>
      <c r="J18" s="7">
        <f>'gastic milk choc arab'!D8</f>
        <v>0</v>
      </c>
      <c r="K18" s="7">
        <f>emulsie!D8</f>
        <v>0</v>
      </c>
      <c r="L18" s="7">
        <f>arabinose!D8</f>
        <v>0</v>
      </c>
      <c r="M18" s="7">
        <v>0</v>
      </c>
      <c r="N18" s="7">
        <v>0</v>
      </c>
      <c r="O18" s="7">
        <v>0</v>
      </c>
      <c r="P18">
        <v>10</v>
      </c>
      <c r="Q18">
        <v>11</v>
      </c>
      <c r="R18" s="17">
        <v>16</v>
      </c>
      <c r="S18" s="17">
        <v>17</v>
      </c>
      <c r="T18" s="17">
        <v>0</v>
      </c>
      <c r="U18" s="19">
        <v>19</v>
      </c>
      <c r="V18" s="19">
        <v>20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1"/>
    </row>
    <row r="19" spans="1:33" x14ac:dyDescent="0.3">
      <c r="C19" s="7" t="s">
        <v>82</v>
      </c>
      <c r="D19" s="7">
        <f>water!D9</f>
        <v>0</v>
      </c>
      <c r="E19" s="7">
        <f>glucose!D9</f>
        <v>0</v>
      </c>
      <c r="F19" s="7">
        <f>sucrose!D9</f>
        <v>0</v>
      </c>
      <c r="G19" s="7">
        <v>95</v>
      </c>
      <c r="H19" s="13">
        <v>95</v>
      </c>
      <c r="I19" s="7">
        <f>'gastic milk choc'!D9</f>
        <v>0</v>
      </c>
      <c r="J19" s="7">
        <f>'gastic milk choc arab'!D9</f>
        <v>0</v>
      </c>
      <c r="K19" s="7">
        <f>emulsie!D9</f>
        <v>0</v>
      </c>
      <c r="L19" s="7">
        <f>arabinose!D9</f>
        <v>0</v>
      </c>
      <c r="M19" s="7">
        <v>0</v>
      </c>
      <c r="N19" s="7">
        <v>0</v>
      </c>
      <c r="O19" s="7">
        <v>0</v>
      </c>
      <c r="P19">
        <v>50</v>
      </c>
      <c r="Q19">
        <v>100</v>
      </c>
      <c r="R19" s="17">
        <v>60</v>
      </c>
      <c r="S19" s="17">
        <v>100</v>
      </c>
      <c r="T19" s="17">
        <v>0</v>
      </c>
      <c r="U19" s="19">
        <v>70</v>
      </c>
      <c r="V19" s="19">
        <v>100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81</v>
      </c>
      <c r="D20" s="7">
        <f>water!D10</f>
        <v>0</v>
      </c>
      <c r="E20" s="7">
        <f>glucose!D10</f>
        <v>0</v>
      </c>
      <c r="F20" s="7">
        <f>sucrose!D10</f>
        <v>0</v>
      </c>
      <c r="G20" s="7">
        <f>'milk choc'!D10</f>
        <v>0</v>
      </c>
      <c r="H20" s="13">
        <f>'milk chocolate arabinose'!D10</f>
        <v>0</v>
      </c>
      <c r="I20" s="7">
        <f>'gastic milk choc'!D10</f>
        <v>0</v>
      </c>
      <c r="J20" s="7">
        <f>'gastic milk choc arab'!D10</f>
        <v>0</v>
      </c>
      <c r="K20" s="7">
        <f>emulsie!D10</f>
        <v>0</v>
      </c>
      <c r="L20" s="7">
        <f>arabinose!D10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82</v>
      </c>
      <c r="D21" s="7">
        <f>water!D11</f>
        <v>0</v>
      </c>
      <c r="E21" s="7">
        <f>glucose!D11</f>
        <v>0</v>
      </c>
      <c r="F21" s="7">
        <f>sucrose!D11</f>
        <v>0</v>
      </c>
      <c r="G21" s="7">
        <f>'milk choc'!D11</f>
        <v>0</v>
      </c>
      <c r="H21" s="13">
        <f>'milk chocolate arabinose'!D11</f>
        <v>0</v>
      </c>
      <c r="I21" s="7">
        <f>'gastic milk choc'!D11</f>
        <v>0</v>
      </c>
      <c r="J21" s="7">
        <f>'gastic milk choc arab'!D11</f>
        <v>0</v>
      </c>
      <c r="K21" s="7">
        <f>emulsie!D11</f>
        <v>0</v>
      </c>
      <c r="L21" s="7">
        <f>arabinose!D11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s="1" customFormat="1" x14ac:dyDescent="0.3">
      <c r="A22" s="1" t="s">
        <v>35</v>
      </c>
      <c r="C22" s="1" t="s">
        <v>27</v>
      </c>
      <c r="D22" s="1">
        <v>0.1</v>
      </c>
      <c r="E22" s="1">
        <v>0.1</v>
      </c>
      <c r="F22" s="1">
        <v>0.1</v>
      </c>
      <c r="G22" s="1">
        <v>5</v>
      </c>
      <c r="H22" s="15">
        <v>5</v>
      </c>
      <c r="I22" s="1">
        <v>50</v>
      </c>
      <c r="J22" s="1">
        <v>50</v>
      </c>
      <c r="K22" s="1">
        <f>emulsie!D12</f>
        <v>1</v>
      </c>
      <c r="L22" s="1">
        <v>0.1</v>
      </c>
      <c r="M22" s="1">
        <v>10</v>
      </c>
      <c r="N22" s="1">
        <v>50</v>
      </c>
      <c r="O22" s="1">
        <v>1</v>
      </c>
      <c r="P22" s="1">
        <v>10</v>
      </c>
      <c r="Q22" s="1">
        <v>100</v>
      </c>
      <c r="R22" s="18">
        <v>50</v>
      </c>
      <c r="S22" s="18">
        <v>50</v>
      </c>
      <c r="T22" s="18">
        <v>50</v>
      </c>
      <c r="U22" s="20">
        <v>50</v>
      </c>
      <c r="V22" s="20">
        <v>50</v>
      </c>
      <c r="W22" s="20">
        <v>50</v>
      </c>
      <c r="X22" s="1">
        <v>0.1</v>
      </c>
      <c r="Y22" s="1">
        <v>0.1</v>
      </c>
      <c r="Z22" s="1">
        <v>0.1</v>
      </c>
      <c r="AA22" s="1">
        <v>0.1</v>
      </c>
      <c r="AB22" s="1">
        <v>0.1</v>
      </c>
      <c r="AC22" s="1">
        <v>0.1</v>
      </c>
      <c r="AD22" s="1">
        <v>0.1</v>
      </c>
      <c r="AE22" s="1">
        <v>0.1</v>
      </c>
      <c r="AF22" s="1">
        <v>0.1</v>
      </c>
    </row>
    <row r="23" spans="1:33" x14ac:dyDescent="0.3">
      <c r="C23" s="7" t="s">
        <v>80</v>
      </c>
      <c r="D23" s="7">
        <f>water!D13</f>
        <v>0</v>
      </c>
      <c r="E23" s="7">
        <f>glucose!D13</f>
        <v>0</v>
      </c>
      <c r="F23" s="7">
        <f>sucrose!D13</f>
        <v>0</v>
      </c>
      <c r="G23" s="7">
        <f>'milk choc'!D13</f>
        <v>6</v>
      </c>
      <c r="H23" s="13">
        <v>7</v>
      </c>
      <c r="I23" s="7">
        <f>'gastic milk choc'!D13</f>
        <v>0</v>
      </c>
      <c r="J23" s="7">
        <f>'gastic milk choc arab'!D13</f>
        <v>0</v>
      </c>
      <c r="K23" s="7">
        <f>emulsie!D13</f>
        <v>0</v>
      </c>
      <c r="L23" s="7">
        <f>arabinose!D13</f>
        <v>0</v>
      </c>
      <c r="M23" s="7">
        <v>0</v>
      </c>
      <c r="N23" s="7">
        <v>0</v>
      </c>
      <c r="O23" s="7">
        <v>0</v>
      </c>
      <c r="P23">
        <v>10</v>
      </c>
      <c r="Q23">
        <v>11</v>
      </c>
      <c r="R23" s="17">
        <v>16</v>
      </c>
      <c r="S23" s="17">
        <v>17</v>
      </c>
      <c r="T23" s="17">
        <v>0</v>
      </c>
      <c r="U23" s="19">
        <v>19</v>
      </c>
      <c r="V23" s="19">
        <v>20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1"/>
    </row>
    <row r="24" spans="1:33" x14ac:dyDescent="0.3">
      <c r="C24" s="7" t="s">
        <v>82</v>
      </c>
      <c r="D24" s="7">
        <f>water!D14</f>
        <v>0</v>
      </c>
      <c r="E24" s="7">
        <f>glucose!D14</f>
        <v>0</v>
      </c>
      <c r="F24" s="7">
        <f>sucrose!D14</f>
        <v>0</v>
      </c>
      <c r="G24" s="7">
        <v>100</v>
      </c>
      <c r="H24" s="13">
        <v>100</v>
      </c>
      <c r="I24" s="7">
        <f>'gastic milk choc'!D14</f>
        <v>0</v>
      </c>
      <c r="J24" s="7">
        <f>'gastic milk choc arab'!D14</f>
        <v>0</v>
      </c>
      <c r="K24" s="7">
        <f>emulsie!D14</f>
        <v>0</v>
      </c>
      <c r="L24" s="7">
        <f>arabinose!D14</f>
        <v>0</v>
      </c>
      <c r="M24" s="7">
        <v>0</v>
      </c>
      <c r="N24" s="7">
        <v>0</v>
      </c>
      <c r="O24" s="7">
        <v>0</v>
      </c>
      <c r="P24">
        <v>50</v>
      </c>
      <c r="Q24">
        <v>100</v>
      </c>
      <c r="R24" s="17">
        <v>60</v>
      </c>
      <c r="S24" s="17">
        <v>100</v>
      </c>
      <c r="T24" s="17">
        <v>0</v>
      </c>
      <c r="U24" s="19">
        <v>60</v>
      </c>
      <c r="V24" s="19">
        <v>100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81</v>
      </c>
      <c r="D25" s="7">
        <f>water!D15</f>
        <v>0</v>
      </c>
      <c r="E25" s="7">
        <f>glucose!D15</f>
        <v>0</v>
      </c>
      <c r="F25" s="7">
        <f>sucrose!D15</f>
        <v>0</v>
      </c>
      <c r="G25" s="7">
        <f>'milk choc'!D15</f>
        <v>0</v>
      </c>
      <c r="H25" s="13">
        <f>'milk chocolate arabinose'!D15</f>
        <v>0</v>
      </c>
      <c r="I25" s="7">
        <f>'gastic milk choc'!D15</f>
        <v>0</v>
      </c>
      <c r="J25" s="7">
        <f>'gastic milk choc arab'!D15</f>
        <v>0</v>
      </c>
      <c r="K25" s="7">
        <f>emulsie!D15</f>
        <v>0</v>
      </c>
      <c r="L25" s="7">
        <f>arabinose!D15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0</v>
      </c>
      <c r="S25" s="17">
        <v>0</v>
      </c>
      <c r="T25" s="17">
        <v>0</v>
      </c>
      <c r="U25" s="19">
        <v>20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82</v>
      </c>
      <c r="D26" s="7">
        <f>water!D16</f>
        <v>0</v>
      </c>
      <c r="E26" s="7">
        <f>glucose!D16</f>
        <v>0</v>
      </c>
      <c r="F26" s="7">
        <f>sucrose!D16</f>
        <v>0</v>
      </c>
      <c r="G26" s="7">
        <f>'milk choc'!D16</f>
        <v>0</v>
      </c>
      <c r="H26" s="13">
        <f>'milk chocolate arabinose'!D16</f>
        <v>0</v>
      </c>
      <c r="I26" s="7">
        <f>'gastic milk choc'!D16</f>
        <v>0</v>
      </c>
      <c r="J26" s="7">
        <f>'gastic milk choc arab'!D16</f>
        <v>0</v>
      </c>
      <c r="K26" s="7">
        <f>emulsie!D16</f>
        <v>0</v>
      </c>
      <c r="L26" s="7">
        <f>arabinose!D16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40</v>
      </c>
      <c r="S26" s="17">
        <v>0</v>
      </c>
      <c r="T26" s="17">
        <v>0</v>
      </c>
      <c r="U26" s="19">
        <v>40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1">
        <v>0</v>
      </c>
      <c r="AD26" s="8">
        <v>0</v>
      </c>
      <c r="AE26" s="8">
        <v>0</v>
      </c>
      <c r="AF26" s="8">
        <v>0</v>
      </c>
      <c r="AG26" s="11"/>
    </row>
    <row r="27" spans="1:33" s="1" customFormat="1" x14ac:dyDescent="0.3">
      <c r="A27" s="1" t="s">
        <v>92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5">
        <v>1</v>
      </c>
      <c r="I27" s="1">
        <v>1</v>
      </c>
      <c r="J27" s="1">
        <v>1</v>
      </c>
      <c r="K27" s="1">
        <f>emulsie!D17</f>
        <v>1</v>
      </c>
      <c r="L27" s="1">
        <v>0.1</v>
      </c>
      <c r="M27" s="1">
        <v>2</v>
      </c>
      <c r="N27" s="1">
        <v>10</v>
      </c>
      <c r="O27" s="1">
        <v>1</v>
      </c>
      <c r="P27" s="1">
        <v>10</v>
      </c>
      <c r="Q27" s="1">
        <v>100</v>
      </c>
      <c r="R27" s="18">
        <v>10</v>
      </c>
      <c r="S27" s="18">
        <v>20</v>
      </c>
      <c r="T27" s="18">
        <v>20</v>
      </c>
      <c r="U27" s="20">
        <v>10</v>
      </c>
      <c r="V27" s="20">
        <v>20</v>
      </c>
      <c r="W27" s="20">
        <v>20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  <c r="AC27" s="1">
        <v>0.1</v>
      </c>
      <c r="AD27" s="1">
        <v>0.1</v>
      </c>
      <c r="AE27" s="1">
        <v>0.1</v>
      </c>
      <c r="AF27" s="1">
        <v>1</v>
      </c>
      <c r="AG27" s="16"/>
    </row>
    <row r="28" spans="1:33" x14ac:dyDescent="0.3">
      <c r="C28" s="7" t="s">
        <v>80</v>
      </c>
      <c r="D28" s="7">
        <f>water!D18</f>
        <v>0</v>
      </c>
      <c r="E28" s="7">
        <f>glucose!D18</f>
        <v>0</v>
      </c>
      <c r="F28" s="7">
        <f>sucrose!D18</f>
        <v>0</v>
      </c>
      <c r="G28" s="7">
        <v>6</v>
      </c>
      <c r="H28" s="13">
        <v>7</v>
      </c>
      <c r="I28" s="7">
        <f>'gastic milk choc'!D18</f>
        <v>0</v>
      </c>
      <c r="J28" s="7">
        <f>'gastic milk choc arab'!D18</f>
        <v>0</v>
      </c>
      <c r="K28" s="7">
        <f>emulsie!D18</f>
        <v>0</v>
      </c>
      <c r="L28" s="7">
        <f>arabinose!D18</f>
        <v>0</v>
      </c>
      <c r="M28" s="7">
        <v>0</v>
      </c>
      <c r="N28" s="7">
        <v>0</v>
      </c>
      <c r="O28" s="7">
        <v>0</v>
      </c>
      <c r="P28">
        <v>10</v>
      </c>
      <c r="Q28">
        <v>11</v>
      </c>
      <c r="R28" s="17">
        <v>16</v>
      </c>
      <c r="S28" s="17">
        <v>17</v>
      </c>
      <c r="T28" s="17">
        <v>0</v>
      </c>
      <c r="U28" s="19">
        <v>19</v>
      </c>
      <c r="V28" s="19">
        <v>20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1"/>
    </row>
    <row r="29" spans="1:33" x14ac:dyDescent="0.3">
      <c r="C29" s="7" t="s">
        <v>82</v>
      </c>
      <c r="D29" s="7">
        <f>water!D19</f>
        <v>0</v>
      </c>
      <c r="E29" s="7">
        <f>glucose!D19</f>
        <v>0</v>
      </c>
      <c r="F29" s="7">
        <f>sucrose!D19</f>
        <v>0</v>
      </c>
      <c r="G29" s="7">
        <v>100</v>
      </c>
      <c r="H29" s="13">
        <v>100</v>
      </c>
      <c r="I29" s="7">
        <f>'gastic milk choc'!D19</f>
        <v>0</v>
      </c>
      <c r="J29" s="7">
        <f>'gastic milk choc arab'!D19</f>
        <v>0</v>
      </c>
      <c r="K29" s="7">
        <f>emulsie!D19</f>
        <v>0</v>
      </c>
      <c r="L29" s="7">
        <f>arabinose!D19</f>
        <v>0</v>
      </c>
      <c r="M29" s="7">
        <v>0</v>
      </c>
      <c r="N29" s="7">
        <v>0</v>
      </c>
      <c r="O29" s="7">
        <v>0</v>
      </c>
      <c r="P29">
        <v>50</v>
      </c>
      <c r="Q29">
        <v>100</v>
      </c>
      <c r="R29" s="17">
        <v>50</v>
      </c>
      <c r="S29" s="17">
        <v>100</v>
      </c>
      <c r="T29" s="17">
        <v>0</v>
      </c>
      <c r="U29" s="19">
        <v>50</v>
      </c>
      <c r="V29" s="19">
        <v>100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81</v>
      </c>
      <c r="D30" s="7">
        <f>water!D20</f>
        <v>0</v>
      </c>
      <c r="E30" s="7">
        <f>glucose!D20</f>
        <v>0</v>
      </c>
      <c r="F30" s="7">
        <f>sucrose!D20</f>
        <v>0</v>
      </c>
      <c r="G30" s="7">
        <f>'milk choc'!D20</f>
        <v>0</v>
      </c>
      <c r="H30" s="13">
        <f>'milk chocolate arabinose'!D20</f>
        <v>0</v>
      </c>
      <c r="I30" s="7">
        <f>'gastic milk choc'!D20</f>
        <v>0</v>
      </c>
      <c r="J30" s="7">
        <f>'gastic milk choc arab'!D20</f>
        <v>0</v>
      </c>
      <c r="K30" s="7">
        <f>emulsie!D20</f>
        <v>0</v>
      </c>
      <c r="L30" s="7">
        <f>arabinose!D20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0</v>
      </c>
      <c r="S30" s="17">
        <v>0</v>
      </c>
      <c r="T30" s="17">
        <v>0</v>
      </c>
      <c r="U30" s="19">
        <v>20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82</v>
      </c>
      <c r="D31" s="7">
        <f>water!D21</f>
        <v>0</v>
      </c>
      <c r="E31" s="7">
        <f>glucose!D21</f>
        <v>0</v>
      </c>
      <c r="F31" s="7">
        <f>sucrose!D21</f>
        <v>0</v>
      </c>
      <c r="G31" s="7">
        <f>'milk choc'!D21</f>
        <v>0</v>
      </c>
      <c r="H31" s="13">
        <f>'milk chocolate arabinose'!D21</f>
        <v>0</v>
      </c>
      <c r="I31" s="7">
        <f>'gastic milk choc'!D21</f>
        <v>0</v>
      </c>
      <c r="J31" s="7">
        <f>'gastic milk choc arab'!D21</f>
        <v>0</v>
      </c>
      <c r="K31" s="7">
        <f>emulsie!D21</f>
        <v>0</v>
      </c>
      <c r="L31" s="7">
        <f>arabinose!D21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50</v>
      </c>
      <c r="S31" s="17">
        <v>0</v>
      </c>
      <c r="T31" s="17">
        <v>0</v>
      </c>
      <c r="U31" s="19">
        <v>50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H32" s="13"/>
      <c r="P32"/>
      <c r="Q32"/>
      <c r="S32"/>
      <c r="T32"/>
      <c r="U32"/>
      <c r="V32"/>
      <c r="W32"/>
    </row>
    <row r="33" spans="1:32" x14ac:dyDescent="0.3">
      <c r="B33" s="8"/>
      <c r="C33" s="8"/>
      <c r="H33" s="13"/>
      <c r="P33"/>
      <c r="Q33"/>
      <c r="S33"/>
      <c r="T33"/>
      <c r="U33"/>
      <c r="V33"/>
      <c r="W33"/>
    </row>
    <row r="34" spans="1:32" x14ac:dyDescent="0.3">
      <c r="B34" s="8" t="s">
        <v>26</v>
      </c>
      <c r="C34" s="8"/>
      <c r="H34" s="13"/>
      <c r="P34"/>
      <c r="Q34"/>
      <c r="S34"/>
      <c r="T34"/>
      <c r="U34"/>
      <c r="V34"/>
      <c r="W34"/>
    </row>
    <row r="35" spans="1:32" x14ac:dyDescent="0.3">
      <c r="A35" s="7">
        <v>1</v>
      </c>
      <c r="B35" s="7" t="s">
        <v>8</v>
      </c>
      <c r="C35" s="7" t="s">
        <v>28</v>
      </c>
      <c r="D35" s="7">
        <f>water!D25</f>
        <v>100</v>
      </c>
      <c r="E35" s="7">
        <f>glucose!D25</f>
        <v>0</v>
      </c>
      <c r="F35" s="7">
        <f>sucrose!D25</f>
        <v>0</v>
      </c>
      <c r="G35" s="7">
        <f>'milk choc'!D25</f>
        <v>0</v>
      </c>
      <c r="H35" s="13">
        <f>'milk chocolate arabinose'!D25</f>
        <v>0</v>
      </c>
      <c r="I35" s="7">
        <f>'gastic milk choc'!D25</f>
        <v>36.94</v>
      </c>
      <c r="J35" s="7">
        <f>'gastic milk choc arab'!D25</f>
        <v>36.94</v>
      </c>
      <c r="K35" s="7">
        <f>emulsie!D25</f>
        <v>50</v>
      </c>
      <c r="L35" s="7">
        <f>arabinose!D25</f>
        <v>0</v>
      </c>
      <c r="M35" s="7">
        <v>0</v>
      </c>
      <c r="N35" s="7">
        <v>0</v>
      </c>
      <c r="O35" s="7">
        <v>0</v>
      </c>
      <c r="P35">
        <v>14</v>
      </c>
      <c r="Q35">
        <v>14</v>
      </c>
      <c r="R35" s="7">
        <v>67</v>
      </c>
      <c r="S35">
        <v>67</v>
      </c>
      <c r="T35">
        <v>67</v>
      </c>
      <c r="U35">
        <v>54</v>
      </c>
      <c r="V35">
        <v>54</v>
      </c>
      <c r="W35">
        <v>54</v>
      </c>
      <c r="X35" s="7">
        <v>100</v>
      </c>
      <c r="Y35" s="7">
        <v>100</v>
      </c>
      <c r="Z35" s="7">
        <v>100</v>
      </c>
      <c r="AA35" s="7">
        <v>100</v>
      </c>
      <c r="AB35" s="8">
        <v>0</v>
      </c>
      <c r="AC35" s="8">
        <v>0</v>
      </c>
      <c r="AD35" s="8">
        <v>0</v>
      </c>
      <c r="AE35" s="8">
        <v>0</v>
      </c>
      <c r="AF35" s="8">
        <v>113</v>
      </c>
    </row>
    <row r="36" spans="1:32" x14ac:dyDescent="0.3">
      <c r="A36" s="7">
        <v>2</v>
      </c>
      <c r="B36" s="7" t="s">
        <v>36</v>
      </c>
      <c r="C36" s="7" t="s">
        <v>28</v>
      </c>
      <c r="D36" s="7">
        <f>water!D26</f>
        <v>0</v>
      </c>
      <c r="E36" s="7">
        <f>glucose!D26</f>
        <v>0</v>
      </c>
      <c r="F36" s="7">
        <f>sucrose!D26</f>
        <v>0</v>
      </c>
      <c r="G36" s="7">
        <f>'milk choc'!D26</f>
        <v>32.729999999999997</v>
      </c>
      <c r="H36" s="13">
        <f>'milk chocolate arabinose'!D26</f>
        <v>32.729999999999997</v>
      </c>
      <c r="I36" s="7">
        <f>'gastic milk choc'!D26</f>
        <v>29.13</v>
      </c>
      <c r="J36" s="7">
        <f>'gastic milk choc arab'!D26</f>
        <v>29.13</v>
      </c>
      <c r="K36" s="7">
        <f>emulsie!D26</f>
        <v>50</v>
      </c>
      <c r="L36" s="7">
        <f>arabinose!D26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9</v>
      </c>
      <c r="S36">
        <v>9</v>
      </c>
      <c r="T36">
        <v>9</v>
      </c>
      <c r="U36">
        <v>9</v>
      </c>
      <c r="V36">
        <v>9</v>
      </c>
      <c r="W36">
        <v>9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3">
      <c r="A37" s="7">
        <v>3</v>
      </c>
      <c r="B37" s="7" t="s">
        <v>2</v>
      </c>
      <c r="C37" s="7" t="s">
        <v>28</v>
      </c>
      <c r="D37" s="7">
        <f>water!D27</f>
        <v>0</v>
      </c>
      <c r="E37" s="7">
        <v>99</v>
      </c>
      <c r="F37" s="7">
        <f>sucrose!D27</f>
        <v>0</v>
      </c>
      <c r="G37" s="7">
        <f>'milk choc'!D27</f>
        <v>0</v>
      </c>
      <c r="H37" s="13">
        <f>'milk chocolate arabinose'!D27</f>
        <v>0</v>
      </c>
      <c r="I37" s="7">
        <f>'gastic milk choc'!D27</f>
        <v>0</v>
      </c>
      <c r="J37" s="7">
        <f>'gastic milk choc arab'!D27</f>
        <v>0</v>
      </c>
      <c r="K37" s="7">
        <f>emulsie!D27</f>
        <v>0</v>
      </c>
      <c r="L37" s="7">
        <f>arabinose!D27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0</v>
      </c>
      <c r="S37">
        <v>0</v>
      </c>
      <c r="T37">
        <v>0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4</v>
      </c>
      <c r="B38" s="7" t="s">
        <v>9</v>
      </c>
      <c r="C38" s="7" t="s">
        <v>28</v>
      </c>
      <c r="D38" s="7">
        <f>water!D28</f>
        <v>0</v>
      </c>
      <c r="E38" s="7">
        <f>glucose!D28</f>
        <v>0</v>
      </c>
      <c r="F38" s="7">
        <f>sucrose!D28</f>
        <v>0</v>
      </c>
      <c r="G38" s="7">
        <f>'milk choc'!D28</f>
        <v>1.08</v>
      </c>
      <c r="H38" s="13">
        <f>'milk chocolate arabinose'!D28</f>
        <v>1.08</v>
      </c>
      <c r="I38" s="7">
        <f>'gastic milk choc'!D28</f>
        <v>1.08</v>
      </c>
      <c r="J38" s="7">
        <f>'gastic milk choc arab'!D28</f>
        <v>1.08</v>
      </c>
      <c r="K38" s="7">
        <f>emulsie!D28</f>
        <v>0</v>
      </c>
      <c r="L38" s="7">
        <f>arabinose!D28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6</v>
      </c>
      <c r="S38">
        <v>6</v>
      </c>
      <c r="T38">
        <v>6</v>
      </c>
      <c r="U38">
        <v>6</v>
      </c>
      <c r="V38">
        <v>6</v>
      </c>
      <c r="W38">
        <v>6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6</v>
      </c>
    </row>
    <row r="39" spans="1:32" x14ac:dyDescent="0.3">
      <c r="A39" s="7">
        <v>5</v>
      </c>
      <c r="B39" s="7" t="s">
        <v>20</v>
      </c>
      <c r="C39" s="7" t="s">
        <v>28</v>
      </c>
      <c r="D39" s="7">
        <f>water!D29</f>
        <v>0</v>
      </c>
      <c r="E39" s="7">
        <f>glucose!D29</f>
        <v>0</v>
      </c>
      <c r="F39" s="7">
        <f>sucrose!D29</f>
        <v>0</v>
      </c>
      <c r="G39" s="7">
        <f>'milk choc'!D29</f>
        <v>0</v>
      </c>
      <c r="H39" s="13">
        <f>'milk chocolate arabinose'!D29</f>
        <v>0</v>
      </c>
      <c r="I39" s="7">
        <f>'gastic milk choc'!D29</f>
        <v>0</v>
      </c>
      <c r="J39" s="7">
        <f>'gastic milk choc arab'!D29</f>
        <v>0</v>
      </c>
      <c r="K39" s="7">
        <f>emulsie!D29</f>
        <v>0</v>
      </c>
      <c r="L39" s="7">
        <f>arabinose!D29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</row>
    <row r="40" spans="1:32" x14ac:dyDescent="0.3">
      <c r="A40" s="7">
        <v>6</v>
      </c>
      <c r="B40" s="7" t="s">
        <v>66</v>
      </c>
      <c r="C40" s="7" t="s">
        <v>28</v>
      </c>
      <c r="D40" s="7">
        <f>water!D30</f>
        <v>0</v>
      </c>
      <c r="E40" s="7">
        <f>glucose!D30</f>
        <v>0</v>
      </c>
      <c r="F40" s="7">
        <f>sucrose!D30</f>
        <v>0</v>
      </c>
      <c r="G40" s="7">
        <f>'milk choc'!D30</f>
        <v>0</v>
      </c>
      <c r="H40" s="13">
        <f>'milk chocolate arabinose'!D30</f>
        <v>0</v>
      </c>
      <c r="I40" s="7">
        <f>'gastic milk choc'!D30</f>
        <v>0</v>
      </c>
      <c r="J40" s="7">
        <f>'gastic milk choc arab'!D30</f>
        <v>0</v>
      </c>
      <c r="K40" s="7">
        <f>emulsie!D30</f>
        <v>0</v>
      </c>
      <c r="L40" s="7">
        <f>arabinose!D30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10</v>
      </c>
      <c r="B41" s="7" t="s">
        <v>15</v>
      </c>
      <c r="C41" s="7" t="s">
        <v>28</v>
      </c>
      <c r="D41" s="7">
        <f>water!D31</f>
        <v>0</v>
      </c>
      <c r="E41" s="7">
        <f>glucose!D31</f>
        <v>0</v>
      </c>
      <c r="F41" s="7">
        <f>sucrose!D31</f>
        <v>0</v>
      </c>
      <c r="G41" s="7">
        <f>'milk choc'!D31</f>
        <v>0</v>
      </c>
      <c r="H41" s="13">
        <f>'milk chocolate arabinose'!D31</f>
        <v>0</v>
      </c>
      <c r="I41" s="7">
        <f>'gastic milk choc'!D31</f>
        <v>0</v>
      </c>
      <c r="J41" s="7">
        <f>'gastic milk choc arab'!D31</f>
        <v>0</v>
      </c>
      <c r="K41" s="7">
        <f>emulsie!D31</f>
        <v>0</v>
      </c>
      <c r="L41" s="7">
        <f>arabinose!D31</f>
        <v>0</v>
      </c>
      <c r="M41" s="7">
        <v>99</v>
      </c>
      <c r="N41" s="7">
        <v>0</v>
      </c>
      <c r="O41" s="7">
        <v>0</v>
      </c>
      <c r="P41">
        <v>75</v>
      </c>
      <c r="Q41">
        <v>0</v>
      </c>
      <c r="R41" s="7">
        <v>50</v>
      </c>
      <c r="S41">
        <v>50</v>
      </c>
      <c r="T41">
        <v>50</v>
      </c>
      <c r="U41">
        <v>50</v>
      </c>
      <c r="V41">
        <v>50</v>
      </c>
      <c r="W41">
        <v>50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11</v>
      </c>
      <c r="B42" s="7" t="s">
        <v>16</v>
      </c>
      <c r="C42" s="7" t="s">
        <v>28</v>
      </c>
      <c r="D42" s="7">
        <f>water!D32</f>
        <v>0</v>
      </c>
      <c r="E42" s="7">
        <f>glucose!D32</f>
        <v>0</v>
      </c>
      <c r="F42" s="7">
        <f>sucrose!D32</f>
        <v>0</v>
      </c>
      <c r="G42" s="7">
        <f>'milk choc'!D32</f>
        <v>0</v>
      </c>
      <c r="H42" s="13">
        <f>'milk chocolate arabinose'!D32</f>
        <v>0</v>
      </c>
      <c r="I42" s="7">
        <f>'gastic milk choc'!D32</f>
        <v>0</v>
      </c>
      <c r="J42" s="7">
        <f>'gastic milk choc arab'!D32</f>
        <v>0</v>
      </c>
      <c r="K42" s="7">
        <f>emulsie!D32</f>
        <v>0</v>
      </c>
      <c r="L42" s="7">
        <f>arabinose!D32</f>
        <v>0</v>
      </c>
      <c r="M42" s="7">
        <v>0</v>
      </c>
      <c r="N42" s="7">
        <v>99</v>
      </c>
      <c r="O42" s="7">
        <v>0</v>
      </c>
      <c r="P42">
        <v>0</v>
      </c>
      <c r="Q42">
        <v>75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12</v>
      </c>
      <c r="B43" s="7" t="s">
        <v>17</v>
      </c>
      <c r="C43" s="7" t="s">
        <v>28</v>
      </c>
      <c r="D43" s="7">
        <f>water!D33</f>
        <v>0</v>
      </c>
      <c r="E43" s="7">
        <f>glucose!D33</f>
        <v>0</v>
      </c>
      <c r="F43" s="7">
        <f>sucrose!D33</f>
        <v>0</v>
      </c>
      <c r="G43" s="7">
        <f>'milk choc'!D33</f>
        <v>6</v>
      </c>
      <c r="H43" s="13">
        <f>'milk chocolate arabinose'!D33</f>
        <v>6</v>
      </c>
      <c r="I43" s="7">
        <f>'gastic milk choc'!D33</f>
        <v>1.78</v>
      </c>
      <c r="J43" s="7">
        <f>'gastic milk choc arab'!D33</f>
        <v>1.78</v>
      </c>
      <c r="K43" s="7">
        <f>emulsie!D33</f>
        <v>0</v>
      </c>
      <c r="L43" s="7">
        <f>arabinose!D33</f>
        <v>0</v>
      </c>
      <c r="M43" s="7">
        <v>0</v>
      </c>
      <c r="N43" s="7">
        <v>0</v>
      </c>
      <c r="O43" s="7">
        <v>99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20</v>
      </c>
      <c r="B44" s="7" t="s">
        <v>3</v>
      </c>
      <c r="C44" s="7" t="s">
        <v>28</v>
      </c>
      <c r="D44" s="7">
        <f>water!D34</f>
        <v>0</v>
      </c>
      <c r="E44" s="7">
        <f>glucose!D34</f>
        <v>0</v>
      </c>
      <c r="F44" s="7">
        <f>sucrose!D34</f>
        <v>0</v>
      </c>
      <c r="G44" s="7">
        <f>'milk choc'!D34</f>
        <v>0</v>
      </c>
      <c r="H44" s="13">
        <f>'milk chocolate arabinose'!D34</f>
        <v>0</v>
      </c>
      <c r="I44" s="7">
        <f>'gastic milk choc'!D34</f>
        <v>0</v>
      </c>
      <c r="J44" s="7">
        <f>'gastic milk choc arab'!D34</f>
        <v>0</v>
      </c>
      <c r="K44" s="7">
        <f>emulsie!D34</f>
        <v>0</v>
      </c>
      <c r="L44" s="7">
        <f>arabinose!D34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21</v>
      </c>
      <c r="B45" s="7" t="s">
        <v>4</v>
      </c>
      <c r="C45" s="7" t="s">
        <v>28</v>
      </c>
      <c r="D45" s="7">
        <f>water!D35</f>
        <v>0</v>
      </c>
      <c r="E45" s="7">
        <f>glucose!D35</f>
        <v>0</v>
      </c>
      <c r="F45" s="7">
        <v>98</v>
      </c>
      <c r="G45" s="7">
        <v>40.5</v>
      </c>
      <c r="H45" s="13">
        <v>28.7</v>
      </c>
      <c r="I45" s="7">
        <v>19</v>
      </c>
      <c r="J45" s="7">
        <v>14</v>
      </c>
      <c r="K45" s="7">
        <f>emulsie!D35</f>
        <v>0</v>
      </c>
      <c r="L45" s="7">
        <f>arabinose!D35</f>
        <v>0</v>
      </c>
      <c r="M45" s="7">
        <v>0</v>
      </c>
      <c r="N45" s="7">
        <v>0</v>
      </c>
      <c r="O45" s="7">
        <v>0</v>
      </c>
      <c r="P45">
        <v>9</v>
      </c>
      <c r="Q45">
        <v>9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22</v>
      </c>
      <c r="B46" s="7" t="s">
        <v>37</v>
      </c>
      <c r="C46" s="7" t="s">
        <v>28</v>
      </c>
      <c r="D46" s="7">
        <f>water!D36</f>
        <v>0</v>
      </c>
      <c r="E46" s="7">
        <f>glucose!D36</f>
        <v>0</v>
      </c>
      <c r="F46" s="7">
        <f>sucrose!D36</f>
        <v>0</v>
      </c>
      <c r="G46" s="7">
        <f>'milk choc'!D36</f>
        <v>0</v>
      </c>
      <c r="H46" s="13">
        <f>'milk chocolate arabinose'!D36</f>
        <v>0</v>
      </c>
      <c r="I46" s="7">
        <f>'gastic milk choc'!D36</f>
        <v>0</v>
      </c>
      <c r="J46" s="7">
        <f>'gastic milk choc arab'!D36</f>
        <v>0</v>
      </c>
      <c r="K46" s="7">
        <f>emulsie!D36</f>
        <v>0</v>
      </c>
      <c r="L46" s="7">
        <f>arabinose!D36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23</v>
      </c>
      <c r="B47" s="7" t="s">
        <v>18</v>
      </c>
      <c r="C47" s="7" t="s">
        <v>28</v>
      </c>
      <c r="D47" s="7">
        <f>water!D37</f>
        <v>0</v>
      </c>
      <c r="E47" s="7">
        <f>glucose!D37</f>
        <v>0</v>
      </c>
      <c r="F47" s="7">
        <f>sucrose!D37</f>
        <v>0</v>
      </c>
      <c r="G47" s="7">
        <f>'milk choc'!D37</f>
        <v>0</v>
      </c>
      <c r="H47" s="13">
        <f>'milk chocolate arabinose'!D37</f>
        <v>0</v>
      </c>
      <c r="I47" s="7">
        <f>'gastic milk choc'!D37</f>
        <v>0</v>
      </c>
      <c r="J47" s="7">
        <f>'gastic milk choc arab'!D37</f>
        <v>0</v>
      </c>
      <c r="K47" s="7">
        <f>emulsie!D37</f>
        <v>0</v>
      </c>
      <c r="L47" s="7">
        <f>arabinose!D37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24</v>
      </c>
      <c r="B48" s="7" t="s">
        <v>100</v>
      </c>
      <c r="C48" s="7" t="s">
        <v>28</v>
      </c>
      <c r="D48" s="7">
        <v>0</v>
      </c>
      <c r="E48" s="7">
        <v>0</v>
      </c>
      <c r="F48" s="7">
        <v>0</v>
      </c>
      <c r="G48" s="7">
        <v>0</v>
      </c>
      <c r="H48" s="13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25</v>
      </c>
      <c r="B49" s="7" t="s">
        <v>38</v>
      </c>
      <c r="C49" s="7" t="s">
        <v>28</v>
      </c>
      <c r="D49" s="7">
        <f>water!D38</f>
        <v>0</v>
      </c>
      <c r="E49" s="7">
        <f>glucose!D38</f>
        <v>0</v>
      </c>
      <c r="F49" s="7">
        <f>sucrose!D38</f>
        <v>0</v>
      </c>
      <c r="G49" s="7">
        <f>'milk choc'!D38</f>
        <v>0</v>
      </c>
      <c r="H49" s="13">
        <f>'milk chocolate arabinose'!D38</f>
        <v>11.9</v>
      </c>
      <c r="I49" s="7">
        <f>'gastic milk choc'!D38</f>
        <v>0</v>
      </c>
      <c r="J49" s="7">
        <f>'gastic milk choc arab'!D38</f>
        <v>5</v>
      </c>
      <c r="K49" s="7">
        <f>emulsie!D38</f>
        <v>0</v>
      </c>
      <c r="L49" s="7">
        <f>arabinose!D38</f>
        <v>100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26</v>
      </c>
      <c r="B50" s="7" t="s">
        <v>19</v>
      </c>
      <c r="C50" s="7" t="s">
        <v>28</v>
      </c>
      <c r="D50" s="7">
        <f>water!D39</f>
        <v>0</v>
      </c>
      <c r="E50" s="7">
        <f>glucose!D39</f>
        <v>0</v>
      </c>
      <c r="F50" s="7">
        <f>sucrose!D39</f>
        <v>0</v>
      </c>
      <c r="G50" s="7">
        <f>'milk choc'!D39</f>
        <v>0</v>
      </c>
      <c r="H50" s="13">
        <f>'milk chocolate arabinose'!D39</f>
        <v>0</v>
      </c>
      <c r="I50" s="7">
        <f>'gastic milk choc'!D39</f>
        <v>0</v>
      </c>
      <c r="J50" s="7">
        <f>'gastic milk choc arab'!D39</f>
        <v>0</v>
      </c>
      <c r="K50" s="7">
        <f>emulsie!D39</f>
        <v>0</v>
      </c>
      <c r="L50" s="7">
        <f>arabinose!D39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27</v>
      </c>
      <c r="B51" s="7" t="s">
        <v>39</v>
      </c>
      <c r="C51" s="7" t="s">
        <v>28</v>
      </c>
      <c r="D51" s="7">
        <f>water!D40</f>
        <v>0</v>
      </c>
      <c r="E51" s="7">
        <f>glucose!D40</f>
        <v>0</v>
      </c>
      <c r="F51" s="7">
        <f>sucrose!D40</f>
        <v>0</v>
      </c>
      <c r="G51" s="7">
        <f>'milk choc'!D40</f>
        <v>0</v>
      </c>
      <c r="H51" s="13">
        <f>'milk chocolate arabinose'!D40</f>
        <v>0</v>
      </c>
      <c r="I51" s="7">
        <f>'gastic milk choc'!D40</f>
        <v>0</v>
      </c>
      <c r="J51" s="7">
        <f>'gastic milk choc arab'!D40</f>
        <v>0</v>
      </c>
      <c r="K51" s="7">
        <f>emulsie!D40</f>
        <v>0</v>
      </c>
      <c r="L51" s="7">
        <f>arabinose!D40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34</v>
      </c>
      <c r="B52" s="7" t="s">
        <v>101</v>
      </c>
      <c r="C52" s="7" t="s">
        <v>28</v>
      </c>
      <c r="D52" s="7">
        <v>0</v>
      </c>
      <c r="E52" s="7">
        <v>1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35</v>
      </c>
      <c r="B53" s="7" t="s">
        <v>102</v>
      </c>
      <c r="C53" s="7" t="s">
        <v>28</v>
      </c>
      <c r="D53" s="7">
        <v>0</v>
      </c>
      <c r="E53" s="7">
        <v>0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36</v>
      </c>
      <c r="B54" s="7" t="s">
        <v>103</v>
      </c>
      <c r="C54" s="7" t="s">
        <v>28</v>
      </c>
      <c r="D54" s="7">
        <v>0</v>
      </c>
      <c r="E54" s="7">
        <v>0</v>
      </c>
      <c r="F54" s="7">
        <v>2</v>
      </c>
      <c r="G54" s="7">
        <v>1</v>
      </c>
      <c r="H54" s="13">
        <v>1</v>
      </c>
      <c r="I54" s="7">
        <v>1</v>
      </c>
      <c r="J54" s="7">
        <v>1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40</v>
      </c>
      <c r="B55" s="7" t="s">
        <v>52</v>
      </c>
      <c r="C55" s="7" t="s">
        <v>28</v>
      </c>
      <c r="D55" s="7">
        <f>water!D41</f>
        <v>0</v>
      </c>
      <c r="E55" s="7">
        <f>glucose!D41</f>
        <v>0</v>
      </c>
      <c r="F55" s="7">
        <f>sucrose!D41</f>
        <v>0</v>
      </c>
      <c r="G55" s="7">
        <f>'milk choc'!D41</f>
        <v>0</v>
      </c>
      <c r="H55" s="13">
        <f>'milk chocolate arabinose'!D41</f>
        <v>0</v>
      </c>
      <c r="I55" s="7">
        <f>'gastic milk choc'!D41</f>
        <v>0</v>
      </c>
      <c r="J55" s="7">
        <f>'gastic milk choc arab'!D41</f>
        <v>0</v>
      </c>
      <c r="K55" s="7">
        <f>emulsie!D41</f>
        <v>0</v>
      </c>
      <c r="L55" s="7">
        <f>arabinose!D41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41</v>
      </c>
      <c r="B56" s="7" t="s">
        <v>53</v>
      </c>
      <c r="C56" s="7" t="s">
        <v>28</v>
      </c>
      <c r="D56" s="7">
        <f>water!D42</f>
        <v>0</v>
      </c>
      <c r="E56" s="7">
        <f>glucose!D42</f>
        <v>0</v>
      </c>
      <c r="F56" s="7">
        <f>sucrose!D42</f>
        <v>0</v>
      </c>
      <c r="G56" s="7">
        <f>'milk choc'!D42</f>
        <v>0</v>
      </c>
      <c r="H56" s="13">
        <f>'milk chocolate arabinose'!D42</f>
        <v>0</v>
      </c>
      <c r="I56" s="7">
        <f>'gastic milk choc'!D42</f>
        <v>0</v>
      </c>
      <c r="J56" s="7">
        <f>'gastic milk choc arab'!D42</f>
        <v>0</v>
      </c>
      <c r="K56" s="7">
        <f>emulsie!D42</f>
        <v>0</v>
      </c>
      <c r="L56" s="7">
        <f>arabinose!D42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50</v>
      </c>
      <c r="B57" s="7" t="s">
        <v>54</v>
      </c>
      <c r="C57" s="7" t="s">
        <v>28</v>
      </c>
      <c r="D57" s="7">
        <f>water!D43</f>
        <v>0</v>
      </c>
      <c r="E57" s="7">
        <f>glucose!D43</f>
        <v>0</v>
      </c>
      <c r="F57" s="7">
        <f>sucrose!D43</f>
        <v>0</v>
      </c>
      <c r="G57" s="7">
        <f>'milk choc'!D43</f>
        <v>0</v>
      </c>
      <c r="H57" s="13">
        <f>'milk chocolate arabinose'!D43</f>
        <v>0</v>
      </c>
      <c r="I57" s="7">
        <f>'gastic milk choc'!D43</f>
        <v>0</v>
      </c>
      <c r="J57" s="7">
        <f>'gastic milk choc arab'!D43</f>
        <v>0</v>
      </c>
      <c r="K57" s="7">
        <f>emulsie!D43</f>
        <v>0</v>
      </c>
      <c r="L57" s="7">
        <f>arabinose!D43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51</v>
      </c>
      <c r="B58" s="7" t="s">
        <v>55</v>
      </c>
      <c r="C58" s="7" t="s">
        <v>28</v>
      </c>
      <c r="D58" s="7">
        <f>water!D44</f>
        <v>0</v>
      </c>
      <c r="E58" s="7">
        <f>glucose!D44</f>
        <v>0</v>
      </c>
      <c r="F58" s="7">
        <f>sucrose!D44</f>
        <v>0</v>
      </c>
      <c r="G58" s="7">
        <f>'milk choc'!D44</f>
        <v>0</v>
      </c>
      <c r="H58" s="13">
        <f>'milk chocolate arabinose'!D44</f>
        <v>0</v>
      </c>
      <c r="I58" s="7">
        <f>'gastic milk choc'!D44</f>
        <v>0</v>
      </c>
      <c r="J58" s="7">
        <f>'gastic milk choc arab'!D44</f>
        <v>0</v>
      </c>
      <c r="K58" s="7">
        <f>emulsie!D44</f>
        <v>0</v>
      </c>
      <c r="L58" s="7">
        <f>arabinose!D44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52</v>
      </c>
      <c r="B59" s="7" t="s">
        <v>56</v>
      </c>
      <c r="C59" s="7" t="s">
        <v>28</v>
      </c>
      <c r="D59" s="7">
        <f>water!D45</f>
        <v>0</v>
      </c>
      <c r="E59" s="7">
        <f>glucose!D45</f>
        <v>0</v>
      </c>
      <c r="F59" s="7">
        <f>sucrose!D45</f>
        <v>0</v>
      </c>
      <c r="G59" s="7">
        <f>'milk choc'!D45</f>
        <v>0</v>
      </c>
      <c r="H59" s="13">
        <f>'milk chocolate arabinose'!D45</f>
        <v>0</v>
      </c>
      <c r="I59" s="7">
        <f>'gastic milk choc'!D45</f>
        <v>0</v>
      </c>
      <c r="J59" s="7">
        <f>'gastic milk choc arab'!D45</f>
        <v>0</v>
      </c>
      <c r="K59" s="7">
        <f>emulsie!D45</f>
        <v>0</v>
      </c>
      <c r="L59" s="7">
        <f>arabinose!D45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53</v>
      </c>
      <c r="B60" s="7" t="s">
        <v>57</v>
      </c>
      <c r="C60" s="7" t="s">
        <v>28</v>
      </c>
      <c r="D60" s="7">
        <f>water!D46</f>
        <v>0</v>
      </c>
      <c r="E60" s="7">
        <f>glucose!D46</f>
        <v>0</v>
      </c>
      <c r="F60" s="7">
        <f>sucrose!D46</f>
        <v>0</v>
      </c>
      <c r="G60" s="7">
        <f>'milk choc'!D46</f>
        <v>0</v>
      </c>
      <c r="H60" s="13">
        <f>'milk chocolate arabinose'!D46</f>
        <v>0</v>
      </c>
      <c r="I60" s="7">
        <f>'gastic milk choc'!D46</f>
        <v>0</v>
      </c>
      <c r="J60" s="7">
        <f>'gastic milk choc arab'!D46</f>
        <v>0</v>
      </c>
      <c r="K60" s="7">
        <f>emulsie!D46</f>
        <v>0</v>
      </c>
      <c r="L60" s="7">
        <f>arabinose!D46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54</v>
      </c>
      <c r="B61" s="7" t="s">
        <v>58</v>
      </c>
      <c r="C61" s="7" t="s">
        <v>28</v>
      </c>
      <c r="D61" s="7">
        <f>water!D47</f>
        <v>0</v>
      </c>
      <c r="E61" s="7">
        <f>glucose!D47</f>
        <v>0</v>
      </c>
      <c r="F61" s="7">
        <f>sucrose!D47</f>
        <v>0</v>
      </c>
      <c r="G61" s="7">
        <f>'milk choc'!D47</f>
        <v>0</v>
      </c>
      <c r="H61" s="13">
        <f>'milk chocolate arabinose'!D47</f>
        <v>0</v>
      </c>
      <c r="I61" s="7">
        <f>'gastic milk choc'!D47</f>
        <v>0</v>
      </c>
      <c r="J61" s="7">
        <f>'gastic milk choc arab'!D47</f>
        <v>0</v>
      </c>
      <c r="K61" s="7">
        <f>emulsie!D47</f>
        <v>0</v>
      </c>
      <c r="L61" s="7">
        <f>arabinose!D47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55</v>
      </c>
      <c r="B62" s="7" t="s">
        <v>62</v>
      </c>
      <c r="C62" s="7" t="s">
        <v>28</v>
      </c>
      <c r="D62" s="7">
        <f>water!D48</f>
        <v>0</v>
      </c>
      <c r="E62" s="7">
        <f>glucose!D48</f>
        <v>0</v>
      </c>
      <c r="F62" s="7">
        <f>sucrose!D48</f>
        <v>0</v>
      </c>
      <c r="G62" s="7">
        <f>'milk choc'!D48</f>
        <v>0</v>
      </c>
      <c r="H62" s="13">
        <f>'milk chocolate arabinose'!D48</f>
        <v>0</v>
      </c>
      <c r="I62" s="7">
        <f>'gastic milk choc'!D48</f>
        <v>0</v>
      </c>
      <c r="J62" s="7">
        <f>'gastic milk choc arab'!D48</f>
        <v>0</v>
      </c>
      <c r="K62" s="7">
        <f>emulsie!D48</f>
        <v>0</v>
      </c>
      <c r="L62" s="7">
        <f>arabinose!D48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56</v>
      </c>
      <c r="B63" s="7" t="s">
        <v>63</v>
      </c>
      <c r="C63" s="7" t="s">
        <v>28</v>
      </c>
      <c r="D63" s="7">
        <f>water!D49</f>
        <v>0</v>
      </c>
      <c r="E63" s="7">
        <f>glucose!D49</f>
        <v>0</v>
      </c>
      <c r="F63" s="7">
        <f>sucrose!D49</f>
        <v>0</v>
      </c>
      <c r="G63" s="7">
        <f>'milk choc'!D49</f>
        <v>0</v>
      </c>
      <c r="H63" s="13">
        <f>'milk chocolate arabinose'!D49</f>
        <v>0</v>
      </c>
      <c r="I63" s="7">
        <f>'gastic milk choc'!D49</f>
        <v>0</v>
      </c>
      <c r="J63" s="7">
        <f>'gastic milk choc arab'!D49</f>
        <v>0</v>
      </c>
      <c r="K63" s="7">
        <f>emulsie!D49</f>
        <v>0</v>
      </c>
      <c r="L63" s="7">
        <f>arabinose!D49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57</v>
      </c>
      <c r="B64" s="7" t="s">
        <v>59</v>
      </c>
      <c r="C64" s="7" t="s">
        <v>28</v>
      </c>
      <c r="D64" s="7">
        <f>water!D50</f>
        <v>0</v>
      </c>
      <c r="E64" s="7">
        <f>glucose!D50</f>
        <v>0</v>
      </c>
      <c r="F64" s="7">
        <f>sucrose!D50</f>
        <v>0</v>
      </c>
      <c r="G64" s="7">
        <f>'milk choc'!D50</f>
        <v>0</v>
      </c>
      <c r="H64" s="13">
        <f>'milk chocolate arabinose'!D50</f>
        <v>0</v>
      </c>
      <c r="I64" s="7">
        <f>'gastic milk choc'!D50</f>
        <v>0</v>
      </c>
      <c r="J64" s="7">
        <f>'gastic milk choc arab'!D50</f>
        <v>0</v>
      </c>
      <c r="K64" s="7">
        <f>emulsie!D50</f>
        <v>0</v>
      </c>
      <c r="L64" s="7">
        <f>arabinose!D50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58</v>
      </c>
      <c r="B65" s="7" t="s">
        <v>60</v>
      </c>
      <c r="C65" s="7" t="s">
        <v>28</v>
      </c>
      <c r="D65" s="7">
        <f>water!D51</f>
        <v>0</v>
      </c>
      <c r="E65" s="7">
        <f>glucose!D51</f>
        <v>0</v>
      </c>
      <c r="F65" s="7">
        <f>sucrose!D51</f>
        <v>0</v>
      </c>
      <c r="G65" s="7">
        <f>'milk choc'!D51</f>
        <v>0</v>
      </c>
      <c r="H65" s="13">
        <f>'milk chocolate arabinose'!D51</f>
        <v>0</v>
      </c>
      <c r="I65" s="7">
        <f>'gastic milk choc'!D51</f>
        <v>0</v>
      </c>
      <c r="J65" s="7">
        <f>'gastic milk choc arab'!D51</f>
        <v>0</v>
      </c>
      <c r="K65" s="7">
        <f>emulsie!D51</f>
        <v>0</v>
      </c>
      <c r="L65" s="7">
        <f>arabinose!D51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60</v>
      </c>
      <c r="B66" s="7" t="s">
        <v>61</v>
      </c>
      <c r="C66" s="7" t="s">
        <v>28</v>
      </c>
      <c r="D66" s="7">
        <f>water!D52</f>
        <v>0</v>
      </c>
      <c r="E66" s="7">
        <f>glucose!D52</f>
        <v>0</v>
      </c>
      <c r="F66" s="7">
        <f>sucrose!D52</f>
        <v>0</v>
      </c>
      <c r="G66" s="7">
        <f>'milk choc'!D52</f>
        <v>0</v>
      </c>
      <c r="H66" s="13">
        <f>'milk chocolate arabinose'!D52</f>
        <v>0</v>
      </c>
      <c r="I66" s="7">
        <f>'gastic milk choc'!D52</f>
        <v>0</v>
      </c>
      <c r="J66" s="7">
        <f>'gastic milk choc arab'!D52</f>
        <v>0</v>
      </c>
      <c r="K66" s="7">
        <f>emulsie!D52</f>
        <v>0</v>
      </c>
      <c r="L66" s="7">
        <f>arabinose!D52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61</v>
      </c>
      <c r="B67" s="7" t="s">
        <v>40</v>
      </c>
      <c r="C67" s="7" t="s">
        <v>28</v>
      </c>
      <c r="D67" s="7">
        <f>water!D53</f>
        <v>0</v>
      </c>
      <c r="E67" s="7">
        <f>glucose!D53</f>
        <v>0</v>
      </c>
      <c r="F67" s="7">
        <f>sucrose!D53</f>
        <v>0</v>
      </c>
      <c r="G67" s="7">
        <f>'milk choc'!D53</f>
        <v>9</v>
      </c>
      <c r="H67" s="13">
        <f>'milk chocolate arabinose'!D53</f>
        <v>9</v>
      </c>
      <c r="I67" s="7">
        <f>'gastic milk choc'!D53</f>
        <v>2.31</v>
      </c>
      <c r="J67" s="7">
        <f>'gastic milk choc arab'!D53</f>
        <v>2.31</v>
      </c>
      <c r="K67" s="7">
        <f>emulsie!D53</f>
        <v>0</v>
      </c>
      <c r="L67" s="7">
        <f>arabinose!D53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62</v>
      </c>
      <c r="B68" s="7" t="s">
        <v>46</v>
      </c>
      <c r="C68" s="7" t="s">
        <v>28</v>
      </c>
      <c r="D68" s="7">
        <f>water!D54</f>
        <v>0</v>
      </c>
      <c r="E68" s="7">
        <f>glucose!D54</f>
        <v>0</v>
      </c>
      <c r="F68" s="7">
        <f>sucrose!D54</f>
        <v>0</v>
      </c>
      <c r="G68" s="7">
        <f>'milk choc'!D54</f>
        <v>0</v>
      </c>
      <c r="H68" s="13">
        <f>'milk chocolate arabinose'!D54</f>
        <v>0</v>
      </c>
      <c r="I68" s="7">
        <f>'gastic milk choc'!D54</f>
        <v>0</v>
      </c>
      <c r="J68" s="7">
        <f>'gastic milk choc arab'!D54</f>
        <v>0</v>
      </c>
      <c r="K68" s="7">
        <f>emulsie!D54</f>
        <v>0</v>
      </c>
      <c r="L68" s="7">
        <f>arabinose!D54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63</v>
      </c>
      <c r="B69" s="7" t="s">
        <v>47</v>
      </c>
      <c r="C69" s="7" t="s">
        <v>28</v>
      </c>
      <c r="D69" s="7">
        <f>water!D55</f>
        <v>0</v>
      </c>
      <c r="E69" s="7">
        <f>glucose!D55</f>
        <v>0</v>
      </c>
      <c r="F69" s="7">
        <f>sucrose!D55</f>
        <v>0</v>
      </c>
      <c r="G69" s="7">
        <f>'milk choc'!D55</f>
        <v>0</v>
      </c>
      <c r="H69" s="13">
        <f>'milk chocolate arabinose'!D55</f>
        <v>0</v>
      </c>
      <c r="I69" s="7">
        <f>'gastic milk choc'!D55</f>
        <v>0</v>
      </c>
      <c r="J69" s="7">
        <f>'gastic milk choc arab'!D55</f>
        <v>0</v>
      </c>
      <c r="K69" s="7">
        <f>emulsie!D55</f>
        <v>0</v>
      </c>
      <c r="L69" s="7">
        <f>arabinose!D55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64</v>
      </c>
      <c r="B70" s="7" t="s">
        <v>41</v>
      </c>
      <c r="C70" s="7" t="s">
        <v>28</v>
      </c>
      <c r="D70" s="7">
        <f>water!D56</f>
        <v>0</v>
      </c>
      <c r="E70" s="7">
        <f>glucose!D56</f>
        <v>0</v>
      </c>
      <c r="F70" s="7">
        <f>sucrose!D56</f>
        <v>0</v>
      </c>
      <c r="G70" s="7">
        <f>'milk choc'!D56</f>
        <v>0</v>
      </c>
      <c r="H70" s="13">
        <f>'milk chocolate arabinose'!D56</f>
        <v>0</v>
      </c>
      <c r="I70" s="7">
        <f>'gastic milk choc'!D56</f>
        <v>0</v>
      </c>
      <c r="J70" s="7">
        <f>'gastic milk choc arab'!D56</f>
        <v>0</v>
      </c>
      <c r="K70" s="7">
        <f>emulsie!D56</f>
        <v>0</v>
      </c>
      <c r="L70" s="7">
        <f>arabinose!D56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65</v>
      </c>
      <c r="B71" s="7" t="s">
        <v>48</v>
      </c>
      <c r="C71" s="7" t="s">
        <v>28</v>
      </c>
      <c r="D71" s="7">
        <f>water!D57</f>
        <v>0</v>
      </c>
      <c r="E71" s="7">
        <f>glucose!D57</f>
        <v>0</v>
      </c>
      <c r="F71" s="7">
        <f>sucrose!D57</f>
        <v>0</v>
      </c>
      <c r="G71" s="7">
        <f>'milk choc'!D57</f>
        <v>0</v>
      </c>
      <c r="H71" s="13">
        <f>'milk chocolate arabinose'!D57</f>
        <v>0</v>
      </c>
      <c r="I71" s="7">
        <f>'gastic milk choc'!D57</f>
        <v>0</v>
      </c>
      <c r="J71" s="7">
        <f>'gastic milk choc arab'!D57</f>
        <v>0</v>
      </c>
      <c r="K71" s="7">
        <f>emulsie!D57</f>
        <v>0</v>
      </c>
      <c r="L71" s="7">
        <f>arabinose!D57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66</v>
      </c>
      <c r="B72" s="7" t="s">
        <v>5</v>
      </c>
      <c r="C72" s="7" t="s">
        <v>28</v>
      </c>
      <c r="D72" s="7">
        <f>water!D58</f>
        <v>0</v>
      </c>
      <c r="E72" s="7">
        <f>glucose!D58</f>
        <v>0</v>
      </c>
      <c r="F72" s="7">
        <f>sucrose!D58</f>
        <v>0</v>
      </c>
      <c r="G72" s="7">
        <f>'milk choc'!D58</f>
        <v>0</v>
      </c>
      <c r="H72" s="13">
        <f>'milk chocolate arabinose'!D58</f>
        <v>0</v>
      </c>
      <c r="I72" s="7">
        <f>'gastic milk choc'!D58</f>
        <v>0</v>
      </c>
      <c r="J72" s="7">
        <f>'gastic milk choc arab'!D58</f>
        <v>0</v>
      </c>
      <c r="K72" s="7">
        <f>emulsie!D58</f>
        <v>0</v>
      </c>
      <c r="L72" s="7">
        <f>arabinose!D58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67</v>
      </c>
      <c r="B73" s="7" t="s">
        <v>6</v>
      </c>
      <c r="C73" s="7" t="s">
        <v>28</v>
      </c>
      <c r="D73" s="7">
        <f>water!D59</f>
        <v>0</v>
      </c>
      <c r="E73" s="7">
        <f>glucose!D59</f>
        <v>0</v>
      </c>
      <c r="F73" s="7">
        <f>sucrose!D59</f>
        <v>0</v>
      </c>
      <c r="G73" s="7">
        <f>'milk choc'!D59</f>
        <v>10</v>
      </c>
      <c r="H73" s="13">
        <f>'milk chocolate arabinose'!D59</f>
        <v>10</v>
      </c>
      <c r="I73" s="7">
        <f>'gastic milk choc'!D59</f>
        <v>8.59</v>
      </c>
      <c r="J73" s="7">
        <f>'gastic milk choc arab'!D59</f>
        <v>8.59</v>
      </c>
      <c r="K73" s="7">
        <f>emulsie!D59</f>
        <v>0</v>
      </c>
      <c r="L73" s="7">
        <f>arabinose!D59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100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70</v>
      </c>
      <c r="B74" s="7" t="s">
        <v>7</v>
      </c>
      <c r="C74" s="7" t="s">
        <v>28</v>
      </c>
      <c r="D74" s="7">
        <f>water!D60</f>
        <v>0</v>
      </c>
      <c r="E74" s="7">
        <f>glucose!D60</f>
        <v>0</v>
      </c>
      <c r="F74" s="7">
        <f>sucrose!D60</f>
        <v>0</v>
      </c>
      <c r="G74" s="7">
        <f>'milk choc'!D60</f>
        <v>0</v>
      </c>
      <c r="H74" s="13">
        <f>'milk chocolate arabinose'!D60</f>
        <v>0</v>
      </c>
      <c r="I74" s="7">
        <f>'gastic milk choc'!D60</f>
        <v>0</v>
      </c>
      <c r="J74" s="7">
        <f>'gastic milk choc arab'!D60</f>
        <v>0</v>
      </c>
      <c r="K74" s="7">
        <f>emulsie!D60</f>
        <v>0</v>
      </c>
      <c r="L74" s="7">
        <f>arabinose!D60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71</v>
      </c>
      <c r="B75" s="7" t="s">
        <v>25</v>
      </c>
      <c r="C75" s="7" t="s">
        <v>28</v>
      </c>
      <c r="D75" s="7">
        <f>water!D61</f>
        <v>0</v>
      </c>
      <c r="E75" s="7">
        <f>glucose!D61</f>
        <v>0</v>
      </c>
      <c r="F75" s="7">
        <f>sucrose!D61</f>
        <v>0</v>
      </c>
      <c r="G75" s="7">
        <f>'milk choc'!D61</f>
        <v>0</v>
      </c>
      <c r="H75" s="13">
        <f>'milk chocolate arabinose'!D61</f>
        <v>0</v>
      </c>
      <c r="I75" s="7">
        <f>'gastic milk choc'!D61</f>
        <v>0</v>
      </c>
      <c r="J75" s="7">
        <f>'gastic milk choc arab'!D61</f>
        <v>0</v>
      </c>
      <c r="K75" s="7">
        <f>emulsie!D61</f>
        <v>0</v>
      </c>
      <c r="L75" s="7">
        <f>arabinose!D61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>
        <v>75</v>
      </c>
      <c r="B76" t="s">
        <v>112</v>
      </c>
      <c r="C76" t="s">
        <v>111</v>
      </c>
      <c r="D76" s="7">
        <v>0</v>
      </c>
      <c r="E76" s="7">
        <v>0</v>
      </c>
      <c r="F76" s="7">
        <v>0</v>
      </c>
      <c r="G76" s="7">
        <v>0</v>
      </c>
      <c r="H76" s="13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100</v>
      </c>
      <c r="AD76" s="8">
        <v>0</v>
      </c>
      <c r="AE76" s="8">
        <v>0</v>
      </c>
      <c r="AF76" s="8">
        <v>0</v>
      </c>
    </row>
    <row r="77" spans="1:32" x14ac:dyDescent="0.3">
      <c r="A77">
        <v>76</v>
      </c>
      <c r="B77" t="s">
        <v>113</v>
      </c>
      <c r="C77" s="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0</v>
      </c>
      <c r="AD77" s="8">
        <v>100</v>
      </c>
      <c r="AE77" s="8">
        <v>0</v>
      </c>
      <c r="AF77" s="8">
        <v>0</v>
      </c>
    </row>
    <row r="78" spans="1:32" x14ac:dyDescent="0.3">
      <c r="A78">
        <v>77</v>
      </c>
      <c r="B78" t="s">
        <v>114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0</v>
      </c>
      <c r="AE78" s="8">
        <v>100</v>
      </c>
      <c r="AF78" s="8">
        <v>0</v>
      </c>
    </row>
    <row r="79" spans="1:32" x14ac:dyDescent="0.3">
      <c r="A79" s="7">
        <v>78</v>
      </c>
      <c r="B79" s="7" t="s">
        <v>49</v>
      </c>
      <c r="C79" s="7" t="s">
        <v>28</v>
      </c>
      <c r="D79" s="7">
        <f>water!D62</f>
        <v>0</v>
      </c>
      <c r="E79" s="7">
        <f>glucose!D62</f>
        <v>0</v>
      </c>
      <c r="F79" s="7">
        <f>sucrose!D62</f>
        <v>0</v>
      </c>
      <c r="G79" s="7">
        <f>'milk choc'!D62</f>
        <v>0</v>
      </c>
      <c r="H79" s="13">
        <f>'milk chocolate arabinose'!D62</f>
        <v>0</v>
      </c>
      <c r="I79" s="7">
        <f>'gastic milk choc'!D62</f>
        <v>0</v>
      </c>
      <c r="J79" s="7">
        <f>'gastic milk choc arab'!D62</f>
        <v>0</v>
      </c>
      <c r="K79" s="7">
        <f>emulsie!D62</f>
        <v>0</v>
      </c>
      <c r="L79" s="7">
        <f>arabinose!D62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</row>
    <row r="80" spans="1:32" x14ac:dyDescent="0.3">
      <c r="A80" s="7">
        <v>79</v>
      </c>
      <c r="B80" s="7" t="s">
        <v>50</v>
      </c>
      <c r="C80" s="7" t="s">
        <v>28</v>
      </c>
      <c r="D80" s="7">
        <f>water!D63</f>
        <v>0</v>
      </c>
      <c r="E80" s="7">
        <f>glucose!D63</f>
        <v>0</v>
      </c>
      <c r="F80" s="7">
        <f>sucrose!D63</f>
        <v>0</v>
      </c>
      <c r="G80" s="7">
        <f>'milk choc'!D63</f>
        <v>0</v>
      </c>
      <c r="H80" s="13">
        <f>'milk chocolate arabinose'!D63</f>
        <v>0</v>
      </c>
      <c r="I80" s="7">
        <f>'gastic milk choc'!D63</f>
        <v>0</v>
      </c>
      <c r="J80" s="7">
        <f>'gastic milk choc arab'!D63</f>
        <v>0</v>
      </c>
      <c r="K80" s="7">
        <f>emulsie!D63</f>
        <v>0</v>
      </c>
      <c r="L80" s="7">
        <f>arabinose!D63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80</v>
      </c>
      <c r="B81" s="7" t="s">
        <v>64</v>
      </c>
      <c r="C81" s="7" t="s">
        <v>51</v>
      </c>
      <c r="D81" s="7">
        <f>water!D64</f>
        <v>0</v>
      </c>
      <c r="E81" s="7">
        <f>glucose!D64</f>
        <v>0</v>
      </c>
      <c r="F81" s="7">
        <f>sucrose!D64</f>
        <v>0</v>
      </c>
      <c r="G81" s="7">
        <f>'milk choc'!D64</f>
        <v>0</v>
      </c>
      <c r="H81" s="13">
        <f>'milk chocolate arabinose'!D64</f>
        <v>0</v>
      </c>
      <c r="I81" s="7">
        <f>'gastic milk choc'!D64</f>
        <v>0</v>
      </c>
      <c r="J81" s="7">
        <f>'gastic milk choc arab'!D64</f>
        <v>0</v>
      </c>
      <c r="K81" s="7">
        <f>emulsie!D64</f>
        <v>0</v>
      </c>
      <c r="L81" s="7">
        <f>arabinose!D64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0</v>
      </c>
      <c r="D82" s="7">
        <f t="shared" ref="D82:L82" si="0">SUM(D35:D81)</f>
        <v>100</v>
      </c>
      <c r="E82" s="7">
        <f t="shared" si="0"/>
        <v>100</v>
      </c>
      <c r="F82" s="7">
        <f t="shared" si="0"/>
        <v>100</v>
      </c>
      <c r="G82" s="7">
        <f t="shared" si="0"/>
        <v>100.31</v>
      </c>
      <c r="H82" s="7">
        <f t="shared" si="0"/>
        <v>100.41</v>
      </c>
      <c r="I82" s="7">
        <f t="shared" si="0"/>
        <v>99.83</v>
      </c>
      <c r="J82" s="7">
        <f t="shared" si="0"/>
        <v>99.83</v>
      </c>
      <c r="K82" s="7">
        <f t="shared" si="0"/>
        <v>100</v>
      </c>
      <c r="L82" s="7">
        <f t="shared" si="0"/>
        <v>100</v>
      </c>
      <c r="M82" s="7">
        <f>SUM(M35:M81)</f>
        <v>99</v>
      </c>
      <c r="N82" s="7">
        <f t="shared" ref="N82:AF82" si="1">SUM(N35:N81)</f>
        <v>99</v>
      </c>
      <c r="O82" s="7">
        <f t="shared" si="1"/>
        <v>99</v>
      </c>
      <c r="P82">
        <f t="shared" si="1"/>
        <v>98</v>
      </c>
      <c r="Q82">
        <f t="shared" si="1"/>
        <v>98</v>
      </c>
      <c r="R82" s="7">
        <f t="shared" si="1"/>
        <v>132</v>
      </c>
      <c r="S82">
        <f t="shared" ref="S82" si="2">SUM(S35:S81)</f>
        <v>132</v>
      </c>
      <c r="T82">
        <v>132</v>
      </c>
      <c r="U82">
        <f t="shared" ref="U82:AA82" si="3">SUM(U35:U81)</f>
        <v>119</v>
      </c>
      <c r="V82">
        <f t="shared" ref="V82" si="4">SUM(V35:V81)</f>
        <v>119</v>
      </c>
      <c r="W82">
        <v>119</v>
      </c>
      <c r="X82" s="7">
        <f t="shared" si="3"/>
        <v>100</v>
      </c>
      <c r="Y82" s="7">
        <f t="shared" si="3"/>
        <v>100</v>
      </c>
      <c r="Z82" s="7">
        <f t="shared" si="3"/>
        <v>100</v>
      </c>
      <c r="AA82" s="7">
        <f t="shared" si="3"/>
        <v>100</v>
      </c>
      <c r="AB82" s="7">
        <f t="shared" si="1"/>
        <v>100</v>
      </c>
      <c r="AC82" s="7">
        <f t="shared" si="1"/>
        <v>100</v>
      </c>
      <c r="AD82" s="7">
        <f t="shared" si="1"/>
        <v>100</v>
      </c>
      <c r="AE82" s="7">
        <f t="shared" si="1"/>
        <v>100</v>
      </c>
      <c r="AF82" s="7">
        <f t="shared" si="1"/>
        <v>119</v>
      </c>
    </row>
    <row r="83" spans="1:32" x14ac:dyDescent="0.3">
      <c r="B83" s="7" t="s">
        <v>88</v>
      </c>
      <c r="C83" s="7" t="s">
        <v>91</v>
      </c>
      <c r="D83" s="7">
        <f>water!D66</f>
        <v>1</v>
      </c>
      <c r="E83" s="7">
        <f>glucose!D66</f>
        <v>1.44</v>
      </c>
      <c r="F83" s="7">
        <f>sucrose!D66</f>
        <v>1.44</v>
      </c>
      <c r="G83" s="7">
        <f>'milk choc'!D66</f>
        <v>1.3</v>
      </c>
      <c r="H83" s="13">
        <f>'milk chocolate arabinose'!D66</f>
        <v>1.3</v>
      </c>
      <c r="I83" s="7">
        <f>'gastic milk choc'!D66</f>
        <v>1.2</v>
      </c>
      <c r="J83" s="7">
        <f>'gastic milk choc arab'!D66</f>
        <v>1.2</v>
      </c>
      <c r="K83" s="7">
        <f>emulsie!D66</f>
        <v>0.95</v>
      </c>
      <c r="L83" s="7">
        <f>arabinose!D66</f>
        <v>1.44</v>
      </c>
      <c r="M83" s="7">
        <v>1.44</v>
      </c>
      <c r="N83" s="7">
        <v>1.44</v>
      </c>
      <c r="O83" s="7">
        <v>1.44</v>
      </c>
      <c r="P83">
        <v>1.4</v>
      </c>
      <c r="Q83">
        <v>1.4</v>
      </c>
      <c r="R83" s="7">
        <v>1.4</v>
      </c>
      <c r="S83">
        <v>1.4</v>
      </c>
      <c r="T83">
        <v>1.4</v>
      </c>
      <c r="U83">
        <v>1.4</v>
      </c>
      <c r="V83">
        <v>1.4</v>
      </c>
      <c r="W83">
        <v>1.4</v>
      </c>
      <c r="X83" s="7">
        <v>1</v>
      </c>
      <c r="Y83" s="7">
        <v>1</v>
      </c>
      <c r="Z83" s="7">
        <v>1</v>
      </c>
      <c r="AA83" s="7">
        <v>1</v>
      </c>
      <c r="AB83" s="8">
        <v>1.4</v>
      </c>
      <c r="AC83" s="8">
        <v>1.4</v>
      </c>
      <c r="AD83" s="8">
        <v>1.4</v>
      </c>
      <c r="AE83" s="8">
        <v>1.4</v>
      </c>
      <c r="AF83" s="8">
        <v>1.4</v>
      </c>
    </row>
  </sheetData>
  <hyperlinks>
    <hyperlink ref="D13" location="water!A1" display="water" xr:uid="{00000000-0004-0000-0000-000000000000}"/>
    <hyperlink ref="E13" location="glucose!A1" display="glucose" xr:uid="{00000000-0004-0000-0000-000001000000}"/>
    <hyperlink ref="F13" location="sucrose!A1" display="sucrose" xr:uid="{00000000-0004-0000-0000-000002000000}"/>
    <hyperlink ref="G13" location="'milk choc'!A1" display="milk choc" xr:uid="{00000000-0004-0000-0000-000003000000}"/>
    <hyperlink ref="H13" location="'milk chocolate arabinose'!A1" display="milk choc arab" xr:uid="{00000000-0004-0000-0000-000004000000}"/>
    <hyperlink ref="I13" location="'gastic milk choc'!A1" display="'gastic milk choc'!A1" xr:uid="{00000000-0004-0000-0000-000005000000}"/>
    <hyperlink ref="J13" location="'gastic milk choc arab'!A1" display="'gastic milk choc arab'!A1" xr:uid="{00000000-0004-0000-0000-000006000000}"/>
    <hyperlink ref="K13" location="emulsie!A1" display="emulsie" xr:uid="{00000000-0004-0000-0000-000007000000}"/>
    <hyperlink ref="L1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2024-09-27T06:40:47Z</dcterms:modified>
</cp:coreProperties>
</file>