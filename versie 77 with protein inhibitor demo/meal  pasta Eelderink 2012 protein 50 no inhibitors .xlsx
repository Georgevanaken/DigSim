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filterPrivacy="1" defaultThemeVersion="124226"/>
  <xr:revisionPtr revIDLastSave="2" documentId="8_{72ADAD67-8E99-4585-BC89-11257FB42C35}" xr6:coauthVersionLast="47" xr6:coauthVersionMax="47" xr10:uidLastSave="{711F785D-B9A0-4785-B5EF-E33BCB24EECB}"/>
  <bookViews>
    <workbookView xWindow="-108" yWindow="-108" windowWidth="23256" windowHeight="12576" xr2:uid="{00000000-000D-0000-FFFF-FFFF00000000}"/>
  </bookViews>
  <sheets>
    <sheet name="meal" sheetId="3" r:id="rId1"/>
    <sheet name="water" sheetId="5" r:id="rId2"/>
    <sheet name="glucose" sheetId="6" r:id="rId3"/>
    <sheet name="sucrose" sheetId="7" r:id="rId4"/>
    <sheet name="milk choc" sheetId="2" r:id="rId5"/>
    <sheet name="milk chocolate arabinose" sheetId="4" r:id="rId6"/>
    <sheet name="gastic milk choc" sheetId="8" r:id="rId7"/>
    <sheet name="gastic milk choc arab" sheetId="10" r:id="rId8"/>
    <sheet name="emulsie" sheetId="11" r:id="rId9"/>
    <sheet name="arabinose" sheetId="13" r:id="rId10"/>
    <sheet name="rapid starch" sheetId="15" r:id="rId11"/>
    <sheet name="slow starch" sheetId="16" r:id="rId12"/>
    <sheet name="resistant starch" sheetId="17" r:id="rId13"/>
  </sheets>
  <definedNames>
    <definedName name="_1_water" localSheetId="9">arabinose!$B$1</definedName>
    <definedName name="_1_water" localSheetId="10">'rapid starch'!$B$1</definedName>
    <definedName name="_1_water" localSheetId="12">'resistant starch'!$B$1</definedName>
    <definedName name="_1_water" localSheetId="11">'slow starch'!$B$1</definedName>
    <definedName name="_1_water">sucrose!$B$1</definedName>
    <definedName name="milk_choc">meal!$G$14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F83" i="3" l="1"/>
  <c r="AE83" i="3"/>
  <c r="AD83" i="3"/>
  <c r="AC83" i="3"/>
  <c r="V83" i="3"/>
  <c r="S83" i="3"/>
  <c r="AA83" i="3" l="1"/>
  <c r="Z83" i="3"/>
  <c r="Y83" i="3"/>
  <c r="X83" i="3"/>
  <c r="U83" i="3"/>
  <c r="R83" i="3"/>
  <c r="AB83" i="3" l="1"/>
  <c r="Q83" i="3" l="1"/>
  <c r="P83" i="3"/>
  <c r="O83" i="3"/>
  <c r="N83" i="3"/>
  <c r="M83" i="3"/>
  <c r="D56" i="3" l="1"/>
  <c r="E56" i="3"/>
  <c r="F56" i="3"/>
  <c r="G56" i="3"/>
  <c r="H56" i="3"/>
  <c r="I56" i="3"/>
  <c r="J56" i="3"/>
  <c r="K56" i="3"/>
  <c r="L56" i="3"/>
  <c r="C63" i="17" l="1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L84" i="3" l="1"/>
  <c r="L82" i="3"/>
  <c r="L81" i="3"/>
  <c r="L80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2" i="3"/>
  <c r="L51" i="3"/>
  <c r="L50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2" i="3"/>
  <c r="L31" i="3"/>
  <c r="L30" i="3"/>
  <c r="L29" i="3"/>
  <c r="L27" i="3"/>
  <c r="L26" i="3"/>
  <c r="L25" i="3"/>
  <c r="L24" i="3"/>
  <c r="L22" i="3"/>
  <c r="L21" i="3"/>
  <c r="L20" i="3"/>
  <c r="L19" i="3"/>
  <c r="L17" i="3"/>
  <c r="L16" i="3"/>
  <c r="L15" i="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L83" i="3" l="1"/>
  <c r="K84" i="3"/>
  <c r="J84" i="3"/>
  <c r="I84" i="3"/>
  <c r="H84" i="3"/>
  <c r="G84" i="3"/>
  <c r="F84" i="3"/>
  <c r="E84" i="3"/>
  <c r="D84" i="3"/>
  <c r="K82" i="3"/>
  <c r="J82" i="3"/>
  <c r="I82" i="3"/>
  <c r="H82" i="3"/>
  <c r="G82" i="3"/>
  <c r="F82" i="3"/>
  <c r="E82" i="3"/>
  <c r="D82" i="3"/>
  <c r="K81" i="3"/>
  <c r="J81" i="3"/>
  <c r="I81" i="3"/>
  <c r="H81" i="3"/>
  <c r="G81" i="3"/>
  <c r="F81" i="3"/>
  <c r="E81" i="3"/>
  <c r="D81" i="3"/>
  <c r="K80" i="3"/>
  <c r="J80" i="3"/>
  <c r="I80" i="3"/>
  <c r="H80" i="3"/>
  <c r="G80" i="3"/>
  <c r="F80" i="3"/>
  <c r="E80" i="3"/>
  <c r="D80" i="3"/>
  <c r="K76" i="3"/>
  <c r="J76" i="3"/>
  <c r="I76" i="3"/>
  <c r="H76" i="3"/>
  <c r="G76" i="3"/>
  <c r="F76" i="3"/>
  <c r="E76" i="3"/>
  <c r="D76" i="3"/>
  <c r="K75" i="3"/>
  <c r="J75" i="3"/>
  <c r="I75" i="3"/>
  <c r="H75" i="3"/>
  <c r="G75" i="3"/>
  <c r="F75" i="3"/>
  <c r="E75" i="3"/>
  <c r="D75" i="3"/>
  <c r="K74" i="3"/>
  <c r="J74" i="3"/>
  <c r="I74" i="3"/>
  <c r="H74" i="3"/>
  <c r="G74" i="3"/>
  <c r="F74" i="3"/>
  <c r="E74" i="3"/>
  <c r="D74" i="3"/>
  <c r="K73" i="3"/>
  <c r="J73" i="3"/>
  <c r="I73" i="3"/>
  <c r="H73" i="3"/>
  <c r="G73" i="3"/>
  <c r="F73" i="3"/>
  <c r="E73" i="3"/>
  <c r="D73" i="3"/>
  <c r="K72" i="3"/>
  <c r="J72" i="3"/>
  <c r="I72" i="3"/>
  <c r="H72" i="3"/>
  <c r="G72" i="3"/>
  <c r="F72" i="3"/>
  <c r="E72" i="3"/>
  <c r="D72" i="3"/>
  <c r="K71" i="3"/>
  <c r="J71" i="3"/>
  <c r="I71" i="3"/>
  <c r="H71" i="3"/>
  <c r="G71" i="3"/>
  <c r="F71" i="3"/>
  <c r="E71" i="3"/>
  <c r="D71" i="3"/>
  <c r="K70" i="3"/>
  <c r="J70" i="3"/>
  <c r="I70" i="3"/>
  <c r="H70" i="3"/>
  <c r="G70" i="3"/>
  <c r="F70" i="3"/>
  <c r="E70" i="3"/>
  <c r="D70" i="3"/>
  <c r="K69" i="3"/>
  <c r="J69" i="3"/>
  <c r="I69" i="3"/>
  <c r="H69" i="3"/>
  <c r="G69" i="3"/>
  <c r="F69" i="3"/>
  <c r="E69" i="3"/>
  <c r="D69" i="3"/>
  <c r="K68" i="3"/>
  <c r="J68" i="3"/>
  <c r="I68" i="3"/>
  <c r="H68" i="3"/>
  <c r="G68" i="3"/>
  <c r="F68" i="3"/>
  <c r="E68" i="3"/>
  <c r="D68" i="3"/>
  <c r="K67" i="3"/>
  <c r="J67" i="3"/>
  <c r="I67" i="3"/>
  <c r="H67" i="3"/>
  <c r="G67" i="3"/>
  <c r="F67" i="3"/>
  <c r="E67" i="3"/>
  <c r="D67" i="3"/>
  <c r="K66" i="3"/>
  <c r="J66" i="3"/>
  <c r="I66" i="3"/>
  <c r="H66" i="3"/>
  <c r="G66" i="3"/>
  <c r="F66" i="3"/>
  <c r="E66" i="3"/>
  <c r="D66" i="3"/>
  <c r="K65" i="3"/>
  <c r="J65" i="3"/>
  <c r="I65" i="3"/>
  <c r="H65" i="3"/>
  <c r="G65" i="3"/>
  <c r="F65" i="3"/>
  <c r="E65" i="3"/>
  <c r="D65" i="3"/>
  <c r="K64" i="3"/>
  <c r="J64" i="3"/>
  <c r="I64" i="3"/>
  <c r="H64" i="3"/>
  <c r="G64" i="3"/>
  <c r="F64" i="3"/>
  <c r="E64" i="3"/>
  <c r="D64" i="3"/>
  <c r="K63" i="3"/>
  <c r="J63" i="3"/>
  <c r="I63" i="3"/>
  <c r="H63" i="3"/>
  <c r="G63" i="3"/>
  <c r="F63" i="3"/>
  <c r="E63" i="3"/>
  <c r="D63" i="3"/>
  <c r="K62" i="3"/>
  <c r="J62" i="3"/>
  <c r="I62" i="3"/>
  <c r="H62" i="3"/>
  <c r="G62" i="3"/>
  <c r="F62" i="3"/>
  <c r="E62" i="3"/>
  <c r="D62" i="3"/>
  <c r="K61" i="3"/>
  <c r="J61" i="3"/>
  <c r="I61" i="3"/>
  <c r="H61" i="3"/>
  <c r="G61" i="3"/>
  <c r="F61" i="3"/>
  <c r="E61" i="3"/>
  <c r="D61" i="3"/>
  <c r="K60" i="3"/>
  <c r="J60" i="3"/>
  <c r="I60" i="3"/>
  <c r="H60" i="3"/>
  <c r="G60" i="3"/>
  <c r="F60" i="3"/>
  <c r="E60" i="3"/>
  <c r="D60" i="3"/>
  <c r="K59" i="3"/>
  <c r="J59" i="3"/>
  <c r="I59" i="3"/>
  <c r="H59" i="3"/>
  <c r="G59" i="3"/>
  <c r="F59" i="3"/>
  <c r="E59" i="3"/>
  <c r="D59" i="3"/>
  <c r="K58" i="3"/>
  <c r="J58" i="3"/>
  <c r="I58" i="3"/>
  <c r="H58" i="3"/>
  <c r="G58" i="3"/>
  <c r="F58" i="3"/>
  <c r="E58" i="3"/>
  <c r="D58" i="3"/>
  <c r="K57" i="3"/>
  <c r="J57" i="3"/>
  <c r="I57" i="3"/>
  <c r="H57" i="3"/>
  <c r="G57" i="3"/>
  <c r="F57" i="3"/>
  <c r="E57" i="3"/>
  <c r="D57" i="3"/>
  <c r="K52" i="3"/>
  <c r="J52" i="3"/>
  <c r="I52" i="3"/>
  <c r="H52" i="3"/>
  <c r="G52" i="3"/>
  <c r="F52" i="3"/>
  <c r="E52" i="3"/>
  <c r="D52" i="3"/>
  <c r="K51" i="3"/>
  <c r="J51" i="3"/>
  <c r="I51" i="3"/>
  <c r="H51" i="3"/>
  <c r="G51" i="3"/>
  <c r="F51" i="3"/>
  <c r="E51" i="3"/>
  <c r="D51" i="3"/>
  <c r="K50" i="3"/>
  <c r="J50" i="3"/>
  <c r="I50" i="3"/>
  <c r="H50" i="3"/>
  <c r="G50" i="3"/>
  <c r="F50" i="3"/>
  <c r="E50" i="3"/>
  <c r="D50" i="3"/>
  <c r="K48" i="3"/>
  <c r="J48" i="3"/>
  <c r="I48" i="3"/>
  <c r="H48" i="3"/>
  <c r="G48" i="3"/>
  <c r="F48" i="3"/>
  <c r="E48" i="3"/>
  <c r="D48" i="3"/>
  <c r="K47" i="3"/>
  <c r="J47" i="3"/>
  <c r="I47" i="3"/>
  <c r="H47" i="3"/>
  <c r="G47" i="3"/>
  <c r="F47" i="3"/>
  <c r="E47" i="3"/>
  <c r="D47" i="3"/>
  <c r="K46" i="3"/>
  <c r="E46" i="3"/>
  <c r="D46" i="3"/>
  <c r="K45" i="3"/>
  <c r="J45" i="3"/>
  <c r="I45" i="3"/>
  <c r="H45" i="3"/>
  <c r="G45" i="3"/>
  <c r="F45" i="3"/>
  <c r="E45" i="3"/>
  <c r="D45" i="3"/>
  <c r="K44" i="3"/>
  <c r="J44" i="3"/>
  <c r="I44" i="3"/>
  <c r="H44" i="3"/>
  <c r="G44" i="3"/>
  <c r="F44" i="3"/>
  <c r="E44" i="3"/>
  <c r="D44" i="3"/>
  <c r="K43" i="3"/>
  <c r="J43" i="3"/>
  <c r="I43" i="3"/>
  <c r="H43" i="3"/>
  <c r="G43" i="3"/>
  <c r="F43" i="3"/>
  <c r="E43" i="3"/>
  <c r="D43" i="3"/>
  <c r="K42" i="3"/>
  <c r="J42" i="3"/>
  <c r="I42" i="3"/>
  <c r="H42" i="3"/>
  <c r="G42" i="3"/>
  <c r="F42" i="3"/>
  <c r="E42" i="3"/>
  <c r="D42" i="3"/>
  <c r="K41" i="3"/>
  <c r="J41" i="3"/>
  <c r="I41" i="3"/>
  <c r="H41" i="3"/>
  <c r="G41" i="3"/>
  <c r="F41" i="3"/>
  <c r="E41" i="3"/>
  <c r="D41" i="3"/>
  <c r="K40" i="3"/>
  <c r="J40" i="3"/>
  <c r="I40" i="3"/>
  <c r="H40" i="3"/>
  <c r="G40" i="3"/>
  <c r="F40" i="3"/>
  <c r="E40" i="3"/>
  <c r="D40" i="3"/>
  <c r="K39" i="3"/>
  <c r="J39" i="3"/>
  <c r="I39" i="3"/>
  <c r="H39" i="3"/>
  <c r="G39" i="3"/>
  <c r="F39" i="3"/>
  <c r="E39" i="3"/>
  <c r="D39" i="3"/>
  <c r="K38" i="3"/>
  <c r="J38" i="3"/>
  <c r="I38" i="3"/>
  <c r="H38" i="3"/>
  <c r="G38" i="3"/>
  <c r="F38" i="3"/>
  <c r="D38" i="3"/>
  <c r="K37" i="3"/>
  <c r="J37" i="3"/>
  <c r="I37" i="3"/>
  <c r="H37" i="3"/>
  <c r="G37" i="3"/>
  <c r="F37" i="3"/>
  <c r="E37" i="3"/>
  <c r="D37" i="3"/>
  <c r="K36" i="3"/>
  <c r="J36" i="3"/>
  <c r="I36" i="3"/>
  <c r="H36" i="3"/>
  <c r="G36" i="3"/>
  <c r="F36" i="3"/>
  <c r="E36" i="3"/>
  <c r="D36" i="3"/>
  <c r="K32" i="3"/>
  <c r="J32" i="3"/>
  <c r="I32" i="3"/>
  <c r="H32" i="3"/>
  <c r="G32" i="3"/>
  <c r="F32" i="3"/>
  <c r="E32" i="3"/>
  <c r="D32" i="3"/>
  <c r="K31" i="3"/>
  <c r="J31" i="3"/>
  <c r="I31" i="3"/>
  <c r="H31" i="3"/>
  <c r="G31" i="3"/>
  <c r="F31" i="3"/>
  <c r="E31" i="3"/>
  <c r="D31" i="3"/>
  <c r="K30" i="3"/>
  <c r="J30" i="3"/>
  <c r="I30" i="3"/>
  <c r="F30" i="3"/>
  <c r="E30" i="3"/>
  <c r="D30" i="3"/>
  <c r="K29" i="3"/>
  <c r="J29" i="3"/>
  <c r="I29" i="3"/>
  <c r="F29" i="3"/>
  <c r="E29" i="3"/>
  <c r="D29" i="3"/>
  <c r="K28" i="3"/>
  <c r="K27" i="3"/>
  <c r="J27" i="3"/>
  <c r="I27" i="3"/>
  <c r="H27" i="3"/>
  <c r="G27" i="3"/>
  <c r="F27" i="3"/>
  <c r="E27" i="3"/>
  <c r="D27" i="3"/>
  <c r="K26" i="3"/>
  <c r="J26" i="3"/>
  <c r="I26" i="3"/>
  <c r="H26" i="3"/>
  <c r="G26" i="3"/>
  <c r="F26" i="3"/>
  <c r="E26" i="3"/>
  <c r="D26" i="3"/>
  <c r="K25" i="3"/>
  <c r="J25" i="3"/>
  <c r="I25" i="3"/>
  <c r="F25" i="3"/>
  <c r="E25" i="3"/>
  <c r="D25" i="3"/>
  <c r="K24" i="3"/>
  <c r="J24" i="3"/>
  <c r="I24" i="3"/>
  <c r="G24" i="3"/>
  <c r="F24" i="3"/>
  <c r="E24" i="3"/>
  <c r="D24" i="3"/>
  <c r="K23" i="3"/>
  <c r="K22" i="3"/>
  <c r="J22" i="3"/>
  <c r="I22" i="3"/>
  <c r="H22" i="3"/>
  <c r="G22" i="3"/>
  <c r="F22" i="3"/>
  <c r="E22" i="3"/>
  <c r="D22" i="3"/>
  <c r="K21" i="3"/>
  <c r="J21" i="3"/>
  <c r="I21" i="3"/>
  <c r="H21" i="3"/>
  <c r="G21" i="3"/>
  <c r="F21" i="3"/>
  <c r="E21" i="3"/>
  <c r="D21" i="3"/>
  <c r="K20" i="3"/>
  <c r="J20" i="3"/>
  <c r="I20" i="3"/>
  <c r="F20" i="3"/>
  <c r="E20" i="3"/>
  <c r="D20" i="3"/>
  <c r="K19" i="3"/>
  <c r="J19" i="3"/>
  <c r="I19" i="3"/>
  <c r="G19" i="3"/>
  <c r="F19" i="3"/>
  <c r="E19" i="3"/>
  <c r="D19" i="3"/>
  <c r="K18" i="3"/>
  <c r="K17" i="3"/>
  <c r="H17" i="3"/>
  <c r="G17" i="3"/>
  <c r="F17" i="3"/>
  <c r="E17" i="3"/>
  <c r="D17" i="3"/>
  <c r="K16" i="3"/>
  <c r="H16" i="3"/>
  <c r="G16" i="3"/>
  <c r="D16" i="3"/>
  <c r="I83" i="3" l="1"/>
  <c r="D83" i="3"/>
  <c r="E83" i="3"/>
  <c r="G83" i="3"/>
  <c r="F83" i="3"/>
  <c r="H83" i="3"/>
  <c r="J83" i="3"/>
  <c r="K83" i="3"/>
  <c r="K15" i="3"/>
  <c r="D65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D65" i="8" l="1"/>
  <c r="D65" i="10"/>
  <c r="D65" i="2"/>
  <c r="D65" i="4"/>
  <c r="J15" i="3" l="1"/>
  <c r="I15" i="3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63" i="8" l="1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H15" i="3" l="1"/>
  <c r="G15" i="3"/>
  <c r="F15" i="3"/>
  <c r="E15" i="3"/>
  <c r="D15" i="3"/>
  <c r="C63" i="4" l="1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30" i="5" l="1"/>
  <c r="C30" i="6"/>
  <c r="C30" i="7"/>
  <c r="C30" i="2"/>
  <c r="C63" i="7" l="1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29" i="7"/>
  <c r="C28" i="7"/>
  <c r="C27" i="7"/>
  <c r="C26" i="7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29" i="6"/>
  <c r="C28" i="6"/>
  <c r="C27" i="6"/>
  <c r="C26" i="6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29" i="5"/>
  <c r="C28" i="5"/>
  <c r="C27" i="5"/>
  <c r="C26" i="5"/>
  <c r="C29" i="2"/>
  <c r="C27" i="2"/>
  <c r="C28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26" i="2"/>
</calcChain>
</file>

<file path=xl/sharedStrings.xml><?xml version="1.0" encoding="utf-8"?>
<sst xmlns="http://schemas.openxmlformats.org/spreadsheetml/2006/main" count="1114" uniqueCount="115">
  <si>
    <t>Inlezen maaltijden</t>
  </si>
  <si>
    <t>pH</t>
  </si>
  <si>
    <t>glucose</t>
  </si>
  <si>
    <t>FA</t>
  </si>
  <si>
    <t>sucrose</t>
  </si>
  <si>
    <t>BSA</t>
  </si>
  <si>
    <t>BLG</t>
  </si>
  <si>
    <t>Leu</t>
  </si>
  <si>
    <t>water</t>
  </si>
  <si>
    <t>protein</t>
  </si>
  <si>
    <t>units</t>
  </si>
  <si>
    <t>INGREDIENTS</t>
  </si>
  <si>
    <t>Component quantifiers</t>
  </si>
  <si>
    <t>gram %</t>
  </si>
  <si>
    <t>Milk Chocolate</t>
  </si>
  <si>
    <t>RDS</t>
  </si>
  <si>
    <t>SDS</t>
  </si>
  <si>
    <t>RS</t>
  </si>
  <si>
    <t>maltose</t>
  </si>
  <si>
    <t>xylose</t>
  </si>
  <si>
    <t>pharm</t>
  </si>
  <si>
    <t>Milk Chocolate arabinose</t>
  </si>
  <si>
    <t>Water</t>
  </si>
  <si>
    <t>Sucrose</t>
  </si>
  <si>
    <t>Glucose</t>
  </si>
  <si>
    <t>Leutrac</t>
  </si>
  <si>
    <t>Ingredient</t>
  </si>
  <si>
    <t>(min)</t>
  </si>
  <si>
    <t>(g)</t>
  </si>
  <si>
    <t>(ml/min)</t>
  </si>
  <si>
    <t>time</t>
  </si>
  <si>
    <t>amount</t>
  </si>
  <si>
    <t>eating speed</t>
  </si>
  <si>
    <t>dish</t>
  </si>
  <si>
    <t>oral decomposition time</t>
  </si>
  <si>
    <t>gastric decomposition time</t>
  </si>
  <si>
    <t>fat</t>
  </si>
  <si>
    <t>fructose</t>
  </si>
  <si>
    <t>arabinose</t>
  </si>
  <si>
    <t>acarbose</t>
  </si>
  <si>
    <t>casein</t>
  </si>
  <si>
    <t>small peptides</t>
  </si>
  <si>
    <t>solid</t>
  </si>
  <si>
    <t>(-)</t>
  </si>
  <si>
    <t xml:space="preserve">viscosity </t>
  </si>
  <si>
    <t>(mPa.s)</t>
  </si>
  <si>
    <t>caseinpep</t>
  </si>
  <si>
    <t>caseinpan</t>
  </si>
  <si>
    <t>casein peptides</t>
  </si>
  <si>
    <t>NaCl</t>
  </si>
  <si>
    <t>HCO3-</t>
  </si>
  <si>
    <t>(mol)</t>
  </si>
  <si>
    <t>pepsin</t>
  </si>
  <si>
    <t>pancreatic proteases</t>
  </si>
  <si>
    <t>lipase</t>
  </si>
  <si>
    <t>bile salts</t>
  </si>
  <si>
    <t>bile phospholipids</t>
  </si>
  <si>
    <t>bile lysophospholipids</t>
  </si>
  <si>
    <t>bile salt LCFA complex</t>
  </si>
  <si>
    <t>salivary_amylase</t>
  </si>
  <si>
    <t>pancreatic_amylase</t>
  </si>
  <si>
    <t xml:space="preserve">CCK releasing protein   </t>
  </si>
  <si>
    <t>mucus protein</t>
  </si>
  <si>
    <t>pancreatic fosfolipase</t>
  </si>
  <si>
    <t>H+ ions</t>
  </si>
  <si>
    <t>(0/1)</t>
  </si>
  <si>
    <t>pharm inactive</t>
  </si>
  <si>
    <t>mol/100g</t>
  </si>
  <si>
    <t>(number)</t>
  </si>
  <si>
    <t>intestinal composition time</t>
  </si>
  <si>
    <t>compound</t>
  </si>
  <si>
    <t>decomposes into</t>
  </si>
  <si>
    <t>compound number</t>
  </si>
  <si>
    <t>milk choc</t>
  </si>
  <si>
    <t>milk choc arab</t>
  </si>
  <si>
    <t>Compound quantifiers</t>
  </si>
  <si>
    <t>reference time (minutes after midnight corresponding with time = 0</t>
  </si>
  <si>
    <t>and</t>
  </si>
  <si>
    <t>Gastic Milk Chocolate</t>
  </si>
  <si>
    <t>(compound number)</t>
  </si>
  <si>
    <t>decomposes into (compound)</t>
  </si>
  <si>
    <t>and (compound)</t>
  </si>
  <si>
    <t>(%)</t>
  </si>
  <si>
    <t>( compound number)</t>
  </si>
  <si>
    <t>gastic milk choc'!A1</t>
  </si>
  <si>
    <t>gastic milk choc arab'!A1</t>
  </si>
  <si>
    <t>Emulsie</t>
  </si>
  <si>
    <t>emulsie</t>
  </si>
  <si>
    <t>density</t>
  </si>
  <si>
    <t>g/ml</t>
  </si>
  <si>
    <t xml:space="preserve">density </t>
  </si>
  <si>
    <t>(g/ml)</t>
  </si>
  <si>
    <t>intestinal decomposition time</t>
  </si>
  <si>
    <t>Arabinose</t>
  </si>
  <si>
    <t>Rapid starch</t>
  </si>
  <si>
    <t>Slow starch</t>
  </si>
  <si>
    <t>Resistant starch</t>
  </si>
  <si>
    <t>resistant starch</t>
  </si>
  <si>
    <t>biscuit</t>
  </si>
  <si>
    <t>extruded</t>
  </si>
  <si>
    <t>13C maltose</t>
  </si>
  <si>
    <t>13C glucose</t>
  </si>
  <si>
    <t>2H glucose</t>
  </si>
  <si>
    <t>13C sucrose</t>
  </si>
  <si>
    <t>particlesize (mm)</t>
  </si>
  <si>
    <t>bread meal Eelderink</t>
  </si>
  <si>
    <t>pasta Eelderink 2012</t>
  </si>
  <si>
    <t>bread masticated</t>
  </si>
  <si>
    <t>bread dispersed</t>
  </si>
  <si>
    <t xml:space="preserve">pasta masticated </t>
  </si>
  <si>
    <t>pasta dispersed</t>
  </si>
  <si>
    <t>(units)</t>
  </si>
  <si>
    <t>comp pepsin inh</t>
  </si>
  <si>
    <t>non comp pepsin inh</t>
  </si>
  <si>
    <t>comp pancr 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</si>
</sst>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quotePrefix="1"/>
    <xf numFmtId="0" fontId="6" fillId="0" borderId="0" xfId="0" applyFont="1"/>
    <xf numFmtId="0" fontId="7" fillId="0" borderId="0" xfId="0" applyFont="1"/>
    <xf numFmtId="0" fontId="8" fillId="0" borderId="0" xfId="0" applyFont="1"/>
    <xf numFmtId="1" fontId="8" fillId="0" borderId="0" xfId="0" applyNumberFormat="1" applyFont="1"/>
    <xf numFmtId="0" fontId="9" fillId="0" borderId="0" xfId="1" quotePrefix="1" applyFont="1"/>
    <xf numFmtId="0" fontId="9" fillId="0" borderId="0" xfId="1" applyFont="1"/>
    <xf numFmtId="0" fontId="10" fillId="0" borderId="0" xfId="0" applyFont="1"/>
    <xf numFmtId="0" fontId="7" fillId="0" borderId="0" xfId="0" quotePrefix="1" applyFont="1"/>
    <xf numFmtId="164" fontId="8" fillId="0" borderId="0" xfId="0" applyNumberFormat="1" applyFont="1"/>
    <xf numFmtId="0" fontId="1" fillId="0" borderId="0" xfId="0" quotePrefix="1" applyFont="1"/>
    <xf numFmtId="0" fontId="11" fillId="0" borderId="0" xfId="1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3" fontId="7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84"/>
  <sheetViews>
    <sheetView tabSelected="1" workbookViewId="0">
      <selection activeCell="G8" sqref="G8"/>
    </sheetView>
  </sheetViews>
  <sheetFormatPr defaultRowHeight="14.4" x14ac:dyDescent="0.3"/>
  <cols>
    <col min="1" max="1" width="8.88671875" style="7"/>
    <col min="2" max="2" width="19.33203125" style="7" customWidth="1"/>
    <col min="3" max="3" width="22.77734375" style="7" customWidth="1"/>
    <col min="4" max="4" width="8.88671875" style="7"/>
    <col min="5" max="5" width="14" style="7" customWidth="1"/>
    <col min="6" max="6" width="9.5546875" style="7" customWidth="1"/>
    <col min="7" max="7" width="8.21875" style="7" customWidth="1"/>
    <col min="8" max="8" width="10" style="7" customWidth="1"/>
    <col min="9" max="9" width="7.33203125" style="7" customWidth="1"/>
    <col min="10" max="10" width="6.77734375" style="7" customWidth="1"/>
    <col min="11" max="11" width="6.88671875" style="7" customWidth="1"/>
    <col min="12" max="12" width="7.109375" style="7" customWidth="1"/>
    <col min="13" max="13" width="7.21875" style="7" customWidth="1"/>
    <col min="14" max="14" width="6.77734375" style="7" customWidth="1"/>
    <col min="15" max="15" width="7.109375" style="7" customWidth="1"/>
    <col min="16" max="16" width="7.21875" style="7" customWidth="1"/>
    <col min="17" max="17" width="7.5546875" style="7" customWidth="1"/>
    <col min="18" max="18" width="8.88671875" style="7" customWidth="1"/>
    <col min="19" max="16384" width="8.88671875" style="7"/>
  </cols>
  <sheetData>
    <row r="1" spans="1:39" ht="23.4" x14ac:dyDescent="0.45">
      <c r="A1" s="6" t="s">
        <v>0</v>
      </c>
    </row>
    <row r="2" spans="1:39" x14ac:dyDescent="0.3">
      <c r="A2" s="7" t="s">
        <v>76</v>
      </c>
      <c r="D2" s="7" t="s">
        <v>27</v>
      </c>
      <c r="E2" s="7">
        <v>500</v>
      </c>
    </row>
    <row r="4" spans="1:39" x14ac:dyDescent="0.3">
      <c r="A4" s="8" t="s">
        <v>30</v>
      </c>
      <c r="B4" s="8" t="s">
        <v>70</v>
      </c>
      <c r="C4" s="8" t="s">
        <v>31</v>
      </c>
      <c r="D4" s="8" t="s">
        <v>33</v>
      </c>
      <c r="E4" s="8" t="s">
        <v>32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</row>
    <row r="5" spans="1:39" x14ac:dyDescent="0.3">
      <c r="A5" s="8" t="s">
        <v>27</v>
      </c>
      <c r="B5" s="8" t="s">
        <v>68</v>
      </c>
      <c r="C5" s="8" t="s">
        <v>28</v>
      </c>
      <c r="D5" s="8" t="s">
        <v>68</v>
      </c>
      <c r="E5" s="8" t="s">
        <v>29</v>
      </c>
      <c r="F5" s="8"/>
      <c r="R5" s="8"/>
      <c r="S5" s="8"/>
      <c r="T5" s="8"/>
      <c r="U5" s="8"/>
      <c r="V5" s="8"/>
      <c r="W5" s="8"/>
      <c r="X5" s="8"/>
      <c r="Y5" s="8"/>
      <c r="AA5" s="8"/>
    </row>
    <row r="6" spans="1:39" x14ac:dyDescent="0.3">
      <c r="A6" s="14">
        <v>0</v>
      </c>
      <c r="B6" s="9">
        <v>18</v>
      </c>
      <c r="C6">
        <v>300</v>
      </c>
      <c r="D6">
        <v>1</v>
      </c>
      <c r="E6" s="21">
        <v>64</v>
      </c>
      <c r="R6"/>
      <c r="S6"/>
      <c r="T6"/>
      <c r="U6"/>
      <c r="V6"/>
      <c r="W6"/>
      <c r="X6"/>
      <c r="Y6"/>
      <c r="AA6"/>
      <c r="AH6" s="10"/>
      <c r="AI6" s="11"/>
      <c r="AJ6" s="11"/>
    </row>
    <row r="7" spans="1:39" x14ac:dyDescent="0.3">
      <c r="A7" s="14">
        <v>1</v>
      </c>
      <c r="B7" s="9">
        <v>28</v>
      </c>
      <c r="C7">
        <v>0</v>
      </c>
      <c r="D7">
        <v>1</v>
      </c>
      <c r="E7" s="21">
        <v>64</v>
      </c>
      <c r="R7"/>
      <c r="S7"/>
      <c r="T7"/>
      <c r="U7"/>
      <c r="V7"/>
      <c r="W7"/>
      <c r="X7"/>
      <c r="Y7"/>
      <c r="AA7"/>
      <c r="AH7" s="10"/>
      <c r="AI7" s="11"/>
      <c r="AJ7" s="11"/>
    </row>
    <row r="8" spans="1:39" x14ac:dyDescent="0.3">
      <c r="A8" s="14">
        <v>2</v>
      </c>
      <c r="B8" s="9">
        <v>26</v>
      </c>
      <c r="C8">
        <v>0</v>
      </c>
      <c r="D8">
        <v>1</v>
      </c>
      <c r="E8" s="21">
        <v>64</v>
      </c>
      <c r="R8"/>
      <c r="S8"/>
      <c r="T8"/>
      <c r="U8"/>
      <c r="V8"/>
      <c r="W8"/>
      <c r="X8"/>
      <c r="Y8"/>
      <c r="AA8"/>
      <c r="AH8" s="10"/>
      <c r="AI8" s="11"/>
      <c r="AJ8" s="11"/>
    </row>
    <row r="9" spans="1:39" x14ac:dyDescent="0.3">
      <c r="A9" s="14">
        <v>3</v>
      </c>
      <c r="B9" s="9">
        <v>25</v>
      </c>
      <c r="C9">
        <v>0</v>
      </c>
      <c r="D9">
        <v>1</v>
      </c>
      <c r="E9" s="21">
        <v>64</v>
      </c>
      <c r="R9"/>
      <c r="S9"/>
      <c r="T9"/>
      <c r="U9"/>
      <c r="V9"/>
      <c r="W9"/>
      <c r="X9"/>
      <c r="Y9"/>
      <c r="AA9"/>
      <c r="AH9" s="10"/>
      <c r="AI9" s="11"/>
      <c r="AJ9" s="11"/>
    </row>
    <row r="10" spans="1:39" x14ac:dyDescent="0.3">
      <c r="A10" s="14">
        <v>1000</v>
      </c>
      <c r="B10" s="9">
        <v>1</v>
      </c>
      <c r="C10">
        <v>0</v>
      </c>
      <c r="D10">
        <v>1</v>
      </c>
      <c r="E10" s="21">
        <v>64</v>
      </c>
      <c r="R10"/>
      <c r="S10"/>
      <c r="T10"/>
      <c r="U10"/>
      <c r="V10"/>
      <c r="W10"/>
      <c r="X10"/>
      <c r="Y10"/>
      <c r="AA10"/>
      <c r="AH10" s="10"/>
      <c r="AI10" s="11"/>
      <c r="AJ10" s="11"/>
    </row>
    <row r="11" spans="1:39" x14ac:dyDescent="0.3">
      <c r="A11" s="9">
        <v>9999</v>
      </c>
      <c r="B11" s="8"/>
    </row>
    <row r="12" spans="1:39" x14ac:dyDescent="0.3">
      <c r="B12" s="8"/>
      <c r="C12" s="8"/>
    </row>
    <row r="13" spans="1:39" s="8" customFormat="1" ht="18" x14ac:dyDescent="0.35">
      <c r="A13" s="12" t="s">
        <v>72</v>
      </c>
      <c r="C13" s="8" t="s">
        <v>68</v>
      </c>
      <c r="D13" s="12">
        <v>1</v>
      </c>
      <c r="E13" s="12">
        <v>2</v>
      </c>
      <c r="F13" s="12">
        <v>3</v>
      </c>
      <c r="G13" s="12">
        <v>4</v>
      </c>
      <c r="H13" s="12">
        <v>5</v>
      </c>
      <c r="I13" s="12">
        <v>6</v>
      </c>
      <c r="J13" s="12">
        <v>7</v>
      </c>
      <c r="K13" s="12">
        <v>8</v>
      </c>
      <c r="L13" s="12">
        <v>9</v>
      </c>
      <c r="M13" s="12">
        <v>10</v>
      </c>
      <c r="N13" s="12">
        <v>11</v>
      </c>
      <c r="O13" s="12">
        <v>12</v>
      </c>
      <c r="P13" s="12">
        <v>13</v>
      </c>
      <c r="Q13" s="12">
        <v>14</v>
      </c>
      <c r="R13" s="12">
        <v>15</v>
      </c>
      <c r="S13" s="12">
        <v>16</v>
      </c>
      <c r="T13" s="12">
        <v>17</v>
      </c>
      <c r="U13" s="12">
        <v>18</v>
      </c>
      <c r="V13" s="12">
        <v>19</v>
      </c>
      <c r="W13" s="12">
        <v>20</v>
      </c>
      <c r="X13" s="12">
        <v>21</v>
      </c>
      <c r="Y13" s="12">
        <v>22</v>
      </c>
      <c r="Z13" s="12">
        <v>23</v>
      </c>
      <c r="AA13" s="12">
        <v>24</v>
      </c>
      <c r="AB13" s="12">
        <v>25</v>
      </c>
      <c r="AC13" s="12">
        <v>26</v>
      </c>
      <c r="AD13" s="12">
        <v>27</v>
      </c>
      <c r="AE13" s="12">
        <v>28</v>
      </c>
      <c r="AF13" s="12">
        <v>29</v>
      </c>
      <c r="AG13" s="12">
        <v>9999</v>
      </c>
    </row>
    <row r="14" spans="1:39" x14ac:dyDescent="0.3">
      <c r="A14" s="8" t="s">
        <v>75</v>
      </c>
      <c r="B14" s="8"/>
      <c r="C14" s="8"/>
      <c r="D14" s="11" t="s">
        <v>8</v>
      </c>
      <c r="E14" s="11" t="s">
        <v>2</v>
      </c>
      <c r="F14" s="11" t="s">
        <v>4</v>
      </c>
      <c r="G14" s="11" t="s">
        <v>73</v>
      </c>
      <c r="H14" s="11" t="s">
        <v>74</v>
      </c>
      <c r="I14" s="10" t="s">
        <v>84</v>
      </c>
      <c r="J14" s="10" t="s">
        <v>85</v>
      </c>
      <c r="K14" s="10" t="s">
        <v>87</v>
      </c>
      <c r="L14" s="11" t="s">
        <v>38</v>
      </c>
      <c r="M14" s="8" t="s">
        <v>94</v>
      </c>
      <c r="N14" s="8" t="s">
        <v>95</v>
      </c>
      <c r="O14" s="8" t="s">
        <v>97</v>
      </c>
      <c r="P14" s="8" t="s">
        <v>99</v>
      </c>
      <c r="Q14" s="8" t="s">
        <v>98</v>
      </c>
      <c r="R14" s="17" t="s">
        <v>105</v>
      </c>
      <c r="S14" s="18" t="s">
        <v>107</v>
      </c>
      <c r="T14" s="18" t="s">
        <v>108</v>
      </c>
      <c r="U14" s="19" t="s">
        <v>106</v>
      </c>
      <c r="V14" s="19" t="s">
        <v>109</v>
      </c>
      <c r="W14" s="19" t="s">
        <v>110</v>
      </c>
      <c r="X14" t="s">
        <v>8</v>
      </c>
      <c r="Y14" t="s">
        <v>8</v>
      </c>
      <c r="Z14" t="s">
        <v>8</v>
      </c>
      <c r="AA14" t="s">
        <v>8</v>
      </c>
      <c r="AB14" s="1" t="s">
        <v>6</v>
      </c>
      <c r="AC14" s="1" t="s">
        <v>112</v>
      </c>
      <c r="AD14" s="1" t="s">
        <v>113</v>
      </c>
      <c r="AE14" s="1" t="s">
        <v>114</v>
      </c>
      <c r="AF14" s="1" t="s">
        <v>6</v>
      </c>
    </row>
    <row r="15" spans="1:39" x14ac:dyDescent="0.3">
      <c r="A15" s="7" t="s">
        <v>1</v>
      </c>
      <c r="C15" s="7" t="s">
        <v>43</v>
      </c>
      <c r="D15" s="7">
        <f>water!D4</f>
        <v>7</v>
      </c>
      <c r="E15" s="7">
        <f>glucose!D4</f>
        <v>7</v>
      </c>
      <c r="F15" s="7">
        <f>sucrose!D4</f>
        <v>7</v>
      </c>
      <c r="G15" s="7">
        <f>'milk choc'!D4</f>
        <v>7</v>
      </c>
      <c r="H15" s="13">
        <f>'milk chocolate arabinose'!D4</f>
        <v>7</v>
      </c>
      <c r="I15" s="7">
        <f>'gastic milk choc'!D4</f>
        <v>7</v>
      </c>
      <c r="J15" s="7">
        <f>'gastic milk choc arab'!D4</f>
        <v>7</v>
      </c>
      <c r="K15" s="7">
        <f>emulsie!D4</f>
        <v>7</v>
      </c>
      <c r="L15" s="7">
        <f>arabinose!D4</f>
        <v>7</v>
      </c>
      <c r="M15" s="7">
        <v>7</v>
      </c>
      <c r="N15" s="7">
        <v>7</v>
      </c>
      <c r="O15" s="7">
        <v>7</v>
      </c>
      <c r="P15">
        <v>7</v>
      </c>
      <c r="Q15">
        <v>7</v>
      </c>
      <c r="R15" s="17">
        <v>7</v>
      </c>
      <c r="S15" s="17">
        <v>7</v>
      </c>
      <c r="T15" s="17">
        <v>7</v>
      </c>
      <c r="U15" s="19">
        <v>7</v>
      </c>
      <c r="V15" s="19">
        <v>7</v>
      </c>
      <c r="W15" s="19">
        <v>7</v>
      </c>
      <c r="X15">
        <v>0</v>
      </c>
      <c r="Y15">
        <v>0</v>
      </c>
      <c r="Z15">
        <v>0</v>
      </c>
      <c r="AA15">
        <v>0</v>
      </c>
      <c r="AB15" s="8">
        <v>7</v>
      </c>
      <c r="AC15" s="8">
        <v>7</v>
      </c>
      <c r="AD15" s="8">
        <v>7</v>
      </c>
      <c r="AE15" s="8">
        <v>7</v>
      </c>
      <c r="AF15" s="8">
        <v>7</v>
      </c>
    </row>
    <row r="16" spans="1:39" x14ac:dyDescent="0.3">
      <c r="A16" s="7" t="s">
        <v>42</v>
      </c>
      <c r="C16" s="7" t="s">
        <v>104</v>
      </c>
      <c r="D16" s="7">
        <f>water!D5</f>
        <v>0</v>
      </c>
      <c r="E16" s="7">
        <v>1</v>
      </c>
      <c r="F16" s="7">
        <v>1</v>
      </c>
      <c r="G16" s="7">
        <f>'milk choc'!D5</f>
        <v>1</v>
      </c>
      <c r="H16" s="13">
        <f>'milk chocolate arabinose'!D5</f>
        <v>1</v>
      </c>
      <c r="I16" s="7">
        <v>0</v>
      </c>
      <c r="J16" s="7">
        <v>0</v>
      </c>
      <c r="K16" s="7">
        <f>emulsie!D5</f>
        <v>0</v>
      </c>
      <c r="L16" s="7">
        <f>arabinose!D5</f>
        <v>1</v>
      </c>
      <c r="M16" s="7">
        <v>2</v>
      </c>
      <c r="N16" s="7">
        <v>1</v>
      </c>
      <c r="O16" s="7">
        <v>1</v>
      </c>
      <c r="P16">
        <v>1</v>
      </c>
      <c r="Q16">
        <v>1</v>
      </c>
      <c r="R16" s="17">
        <v>20</v>
      </c>
      <c r="S16" s="17">
        <v>5</v>
      </c>
      <c r="T16" s="17">
        <v>1</v>
      </c>
      <c r="U16" s="19">
        <v>20</v>
      </c>
      <c r="V16" s="19">
        <v>5</v>
      </c>
      <c r="W16" s="19">
        <v>1</v>
      </c>
      <c r="X16">
        <v>0</v>
      </c>
      <c r="Y16">
        <v>0</v>
      </c>
      <c r="Z16">
        <v>0</v>
      </c>
      <c r="AA16">
        <v>0</v>
      </c>
      <c r="AB16" s="8">
        <v>1</v>
      </c>
      <c r="AC16" s="8">
        <v>0</v>
      </c>
      <c r="AD16" s="8">
        <v>0</v>
      </c>
      <c r="AE16" s="8">
        <v>0</v>
      </c>
      <c r="AF16" s="8">
        <v>1</v>
      </c>
    </row>
    <row r="17" spans="1:33" x14ac:dyDescent="0.3">
      <c r="A17" s="7" t="s">
        <v>44</v>
      </c>
      <c r="C17" s="7" t="s">
        <v>45</v>
      </c>
      <c r="D17" s="7">
        <f>water!D6</f>
        <v>1</v>
      </c>
      <c r="E17" s="7">
        <f>glucose!D6</f>
        <v>1</v>
      </c>
      <c r="F17" s="7">
        <f>sucrose!D6</f>
        <v>1</v>
      </c>
      <c r="G17" s="7">
        <f>'milk choc'!D6</f>
        <v>1</v>
      </c>
      <c r="H17" s="13">
        <f>'milk chocolate arabinose'!D6</f>
        <v>1</v>
      </c>
      <c r="I17" s="7">
        <v>1000</v>
      </c>
      <c r="J17" s="7">
        <v>1000</v>
      </c>
      <c r="K17" s="7">
        <f>emulsie!D6</f>
        <v>1</v>
      </c>
      <c r="L17" s="7">
        <f>arabinose!D6</f>
        <v>1</v>
      </c>
      <c r="M17" s="7">
        <v>1000</v>
      </c>
      <c r="N17" s="7">
        <v>1</v>
      </c>
      <c r="O17" s="7">
        <v>1</v>
      </c>
      <c r="P17">
        <v>10000</v>
      </c>
      <c r="Q17">
        <v>10000</v>
      </c>
      <c r="R17" s="17">
        <v>1000</v>
      </c>
      <c r="S17" s="17">
        <v>10</v>
      </c>
      <c r="T17" s="17">
        <v>10</v>
      </c>
      <c r="U17" s="19">
        <v>1000</v>
      </c>
      <c r="V17" s="19">
        <v>10</v>
      </c>
      <c r="W17" s="19">
        <v>10</v>
      </c>
      <c r="X17">
        <v>0</v>
      </c>
      <c r="Y17">
        <v>0</v>
      </c>
      <c r="Z17">
        <v>0</v>
      </c>
      <c r="AA17">
        <v>0</v>
      </c>
      <c r="AB17" s="8">
        <v>1</v>
      </c>
      <c r="AC17" s="8">
        <v>0</v>
      </c>
      <c r="AD17" s="8">
        <v>0</v>
      </c>
      <c r="AE17" s="8">
        <v>0</v>
      </c>
      <c r="AF17" s="8">
        <v>1</v>
      </c>
    </row>
    <row r="18" spans="1:33" s="1" customFormat="1" x14ac:dyDescent="0.3">
      <c r="A18" s="1" t="s">
        <v>34</v>
      </c>
      <c r="C18" s="1" t="s">
        <v>27</v>
      </c>
      <c r="D18" s="1">
        <v>0.1</v>
      </c>
      <c r="E18" s="1">
        <v>0.1</v>
      </c>
      <c r="F18" s="1">
        <v>0.1</v>
      </c>
      <c r="G18" s="1">
        <v>1</v>
      </c>
      <c r="H18" s="15">
        <v>1</v>
      </c>
      <c r="I18" s="1">
        <v>5</v>
      </c>
      <c r="J18" s="1">
        <v>5</v>
      </c>
      <c r="K18" s="1">
        <f>emulsie!D7</f>
        <v>1</v>
      </c>
      <c r="L18" s="1">
        <v>0.1</v>
      </c>
      <c r="M18" s="1">
        <v>10</v>
      </c>
      <c r="N18" s="1">
        <v>50</v>
      </c>
      <c r="O18" s="1">
        <v>1</v>
      </c>
      <c r="P18" s="1">
        <v>10</v>
      </c>
      <c r="Q18" s="1">
        <v>20</v>
      </c>
      <c r="R18" s="18">
        <v>0.5</v>
      </c>
      <c r="S18" s="18">
        <v>50</v>
      </c>
      <c r="T18" s="18">
        <v>50</v>
      </c>
      <c r="U18" s="20">
        <v>0.5</v>
      </c>
      <c r="V18" s="20">
        <v>50</v>
      </c>
      <c r="W18" s="20">
        <v>50</v>
      </c>
      <c r="X18" s="1">
        <v>0.1</v>
      </c>
      <c r="Y18" s="1">
        <v>0.1</v>
      </c>
      <c r="Z18" s="1">
        <v>0.1</v>
      </c>
      <c r="AA18" s="1">
        <v>0.1</v>
      </c>
      <c r="AB18" s="1">
        <v>0.1</v>
      </c>
      <c r="AC18" s="1">
        <v>0.1</v>
      </c>
      <c r="AD18" s="1">
        <v>0.1</v>
      </c>
      <c r="AE18" s="1">
        <v>0.1</v>
      </c>
      <c r="AF18" s="1">
        <v>0.1</v>
      </c>
    </row>
    <row r="19" spans="1:33" x14ac:dyDescent="0.3">
      <c r="C19" s="7" t="s">
        <v>80</v>
      </c>
      <c r="D19" s="7">
        <f>water!D8</f>
        <v>0</v>
      </c>
      <c r="E19" s="7">
        <f>glucose!D8</f>
        <v>0</v>
      </c>
      <c r="F19" s="7">
        <f>sucrose!D8</f>
        <v>0</v>
      </c>
      <c r="G19" s="7">
        <f>'milk choc'!D8</f>
        <v>6</v>
      </c>
      <c r="H19" s="13">
        <v>7</v>
      </c>
      <c r="I19" s="7">
        <f>'gastic milk choc'!D8</f>
        <v>0</v>
      </c>
      <c r="J19" s="7">
        <f>'gastic milk choc arab'!D8</f>
        <v>0</v>
      </c>
      <c r="K19" s="7">
        <f>emulsie!D8</f>
        <v>0</v>
      </c>
      <c r="L19" s="7">
        <f>arabinose!D8</f>
        <v>0</v>
      </c>
      <c r="M19" s="7">
        <v>0</v>
      </c>
      <c r="N19" s="7">
        <v>0</v>
      </c>
      <c r="O19" s="7">
        <v>0</v>
      </c>
      <c r="P19">
        <v>10</v>
      </c>
      <c r="Q19">
        <v>11</v>
      </c>
      <c r="R19" s="17">
        <v>16</v>
      </c>
      <c r="S19" s="17">
        <v>17</v>
      </c>
      <c r="T19" s="17">
        <v>0</v>
      </c>
      <c r="U19" s="19">
        <v>19</v>
      </c>
      <c r="V19" s="19">
        <v>20</v>
      </c>
      <c r="W19" s="19">
        <v>0</v>
      </c>
      <c r="X19" s="7">
        <v>0</v>
      </c>
      <c r="Y19" s="7">
        <v>0</v>
      </c>
      <c r="Z19" s="7">
        <v>0</v>
      </c>
      <c r="AA19" s="7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11"/>
    </row>
    <row r="20" spans="1:33" x14ac:dyDescent="0.3">
      <c r="C20" s="7" t="s">
        <v>82</v>
      </c>
      <c r="D20" s="7">
        <f>water!D9</f>
        <v>0</v>
      </c>
      <c r="E20" s="7">
        <f>glucose!D9</f>
        <v>0</v>
      </c>
      <c r="F20" s="7">
        <f>sucrose!D9</f>
        <v>0</v>
      </c>
      <c r="G20" s="7">
        <v>95</v>
      </c>
      <c r="H20" s="13">
        <v>95</v>
      </c>
      <c r="I20" s="7">
        <f>'gastic milk choc'!D9</f>
        <v>0</v>
      </c>
      <c r="J20" s="7">
        <f>'gastic milk choc arab'!D9</f>
        <v>0</v>
      </c>
      <c r="K20" s="7">
        <f>emulsie!D9</f>
        <v>0</v>
      </c>
      <c r="L20" s="7">
        <f>arabinose!D9</f>
        <v>0</v>
      </c>
      <c r="M20" s="7">
        <v>0</v>
      </c>
      <c r="N20" s="7">
        <v>0</v>
      </c>
      <c r="O20" s="7">
        <v>0</v>
      </c>
      <c r="P20">
        <v>50</v>
      </c>
      <c r="Q20">
        <v>100</v>
      </c>
      <c r="R20" s="17">
        <v>60</v>
      </c>
      <c r="S20" s="17">
        <v>100</v>
      </c>
      <c r="T20" s="17">
        <v>0</v>
      </c>
      <c r="U20" s="19">
        <v>70</v>
      </c>
      <c r="V20" s="19">
        <v>100</v>
      </c>
      <c r="W20" s="19">
        <v>0</v>
      </c>
      <c r="X20" s="7">
        <v>0</v>
      </c>
      <c r="Y20" s="7">
        <v>0</v>
      </c>
      <c r="Z20" s="7">
        <v>0</v>
      </c>
      <c r="AA20" s="7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11"/>
    </row>
    <row r="21" spans="1:33" x14ac:dyDescent="0.3">
      <c r="C21" s="7" t="s">
        <v>81</v>
      </c>
      <c r="D21" s="7">
        <f>water!D10</f>
        <v>0</v>
      </c>
      <c r="E21" s="7">
        <f>glucose!D10</f>
        <v>0</v>
      </c>
      <c r="F21" s="7">
        <f>sucrose!D10</f>
        <v>0</v>
      </c>
      <c r="G21" s="7">
        <f>'milk choc'!D10</f>
        <v>0</v>
      </c>
      <c r="H21" s="13">
        <f>'milk chocolate arabinose'!D10</f>
        <v>0</v>
      </c>
      <c r="I21" s="7">
        <f>'gastic milk choc'!D10</f>
        <v>0</v>
      </c>
      <c r="J21" s="7">
        <f>'gastic milk choc arab'!D10</f>
        <v>0</v>
      </c>
      <c r="K21" s="7">
        <f>emulsie!D10</f>
        <v>0</v>
      </c>
      <c r="L21" s="7">
        <f>arabinose!D10</f>
        <v>0</v>
      </c>
      <c r="M21" s="7">
        <v>0</v>
      </c>
      <c r="N21" s="7">
        <v>0</v>
      </c>
      <c r="O21" s="7">
        <v>0</v>
      </c>
      <c r="P21">
        <v>0</v>
      </c>
      <c r="Q21">
        <v>0</v>
      </c>
      <c r="R21" s="17">
        <v>0</v>
      </c>
      <c r="S21" s="17">
        <v>0</v>
      </c>
      <c r="T21" s="17">
        <v>0</v>
      </c>
      <c r="U21" s="19">
        <v>0</v>
      </c>
      <c r="V21" s="19">
        <v>0</v>
      </c>
      <c r="W21" s="19">
        <v>0</v>
      </c>
      <c r="X21" s="7">
        <v>0</v>
      </c>
      <c r="Y21" s="7">
        <v>0</v>
      </c>
      <c r="Z21" s="7">
        <v>0</v>
      </c>
      <c r="AA21" s="7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11"/>
    </row>
    <row r="22" spans="1:33" x14ac:dyDescent="0.3">
      <c r="C22" s="7" t="s">
        <v>82</v>
      </c>
      <c r="D22" s="7">
        <f>water!D11</f>
        <v>0</v>
      </c>
      <c r="E22" s="7">
        <f>glucose!D11</f>
        <v>0</v>
      </c>
      <c r="F22" s="7">
        <f>sucrose!D11</f>
        <v>0</v>
      </c>
      <c r="G22" s="7">
        <f>'milk choc'!D11</f>
        <v>0</v>
      </c>
      <c r="H22" s="13">
        <f>'milk chocolate arabinose'!D11</f>
        <v>0</v>
      </c>
      <c r="I22" s="7">
        <f>'gastic milk choc'!D11</f>
        <v>0</v>
      </c>
      <c r="J22" s="7">
        <f>'gastic milk choc arab'!D11</f>
        <v>0</v>
      </c>
      <c r="K22" s="7">
        <f>emulsie!D11</f>
        <v>0</v>
      </c>
      <c r="L22" s="7">
        <f>arabinose!D11</f>
        <v>0</v>
      </c>
      <c r="M22" s="7">
        <v>0</v>
      </c>
      <c r="N22" s="7">
        <v>0</v>
      </c>
      <c r="O22" s="7">
        <v>0</v>
      </c>
      <c r="P22">
        <v>0</v>
      </c>
      <c r="Q22">
        <v>0</v>
      </c>
      <c r="R22" s="17">
        <v>0</v>
      </c>
      <c r="S22" s="17">
        <v>0</v>
      </c>
      <c r="T22" s="17">
        <v>0</v>
      </c>
      <c r="U22" s="19">
        <v>0</v>
      </c>
      <c r="V22" s="19">
        <v>0</v>
      </c>
      <c r="W22" s="19">
        <v>0</v>
      </c>
      <c r="X22" s="7">
        <v>0</v>
      </c>
      <c r="Y22" s="7">
        <v>0</v>
      </c>
      <c r="Z22" s="7">
        <v>0</v>
      </c>
      <c r="AA22" s="7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1"/>
    </row>
    <row r="23" spans="1:33" s="1" customFormat="1" x14ac:dyDescent="0.3">
      <c r="A23" s="1" t="s">
        <v>35</v>
      </c>
      <c r="C23" s="1" t="s">
        <v>27</v>
      </c>
      <c r="D23" s="1">
        <v>0.1</v>
      </c>
      <c r="E23" s="1">
        <v>0.1</v>
      </c>
      <c r="F23" s="1">
        <v>0.1</v>
      </c>
      <c r="G23" s="1">
        <v>5</v>
      </c>
      <c r="H23" s="15">
        <v>5</v>
      </c>
      <c r="I23" s="1">
        <v>50</v>
      </c>
      <c r="J23" s="1">
        <v>50</v>
      </c>
      <c r="K23" s="1">
        <f>emulsie!D12</f>
        <v>1</v>
      </c>
      <c r="L23" s="1">
        <v>0.1</v>
      </c>
      <c r="M23" s="1">
        <v>10</v>
      </c>
      <c r="N23" s="1">
        <v>50</v>
      </c>
      <c r="O23" s="1">
        <v>1</v>
      </c>
      <c r="P23" s="1">
        <v>10</v>
      </c>
      <c r="Q23" s="1">
        <v>100</v>
      </c>
      <c r="R23" s="18">
        <v>50</v>
      </c>
      <c r="S23" s="18">
        <v>50</v>
      </c>
      <c r="T23" s="18">
        <v>50</v>
      </c>
      <c r="U23" s="20">
        <v>50</v>
      </c>
      <c r="V23" s="20">
        <v>50</v>
      </c>
      <c r="W23" s="20">
        <v>50</v>
      </c>
      <c r="X23" s="1">
        <v>0.1</v>
      </c>
      <c r="Y23" s="1">
        <v>0.1</v>
      </c>
      <c r="Z23" s="1">
        <v>0.1</v>
      </c>
      <c r="AA23" s="1">
        <v>0.1</v>
      </c>
      <c r="AB23" s="1">
        <v>0.1</v>
      </c>
      <c r="AC23" s="1">
        <v>0.1</v>
      </c>
      <c r="AD23" s="1">
        <v>0.1</v>
      </c>
      <c r="AE23" s="1">
        <v>0.1</v>
      </c>
      <c r="AF23" s="1">
        <v>0.1</v>
      </c>
    </row>
    <row r="24" spans="1:33" x14ac:dyDescent="0.3">
      <c r="C24" s="7" t="s">
        <v>80</v>
      </c>
      <c r="D24" s="7">
        <f>water!D13</f>
        <v>0</v>
      </c>
      <c r="E24" s="7">
        <f>glucose!D13</f>
        <v>0</v>
      </c>
      <c r="F24" s="7">
        <f>sucrose!D13</f>
        <v>0</v>
      </c>
      <c r="G24" s="7">
        <f>'milk choc'!D13</f>
        <v>6</v>
      </c>
      <c r="H24" s="13">
        <v>7</v>
      </c>
      <c r="I24" s="7">
        <f>'gastic milk choc'!D13</f>
        <v>0</v>
      </c>
      <c r="J24" s="7">
        <f>'gastic milk choc arab'!D13</f>
        <v>0</v>
      </c>
      <c r="K24" s="7">
        <f>emulsie!D13</f>
        <v>0</v>
      </c>
      <c r="L24" s="7">
        <f>arabinose!D13</f>
        <v>0</v>
      </c>
      <c r="M24" s="7">
        <v>0</v>
      </c>
      <c r="N24" s="7">
        <v>0</v>
      </c>
      <c r="O24" s="7">
        <v>0</v>
      </c>
      <c r="P24">
        <v>10</v>
      </c>
      <c r="Q24">
        <v>11</v>
      </c>
      <c r="R24" s="17">
        <v>16</v>
      </c>
      <c r="S24" s="17">
        <v>17</v>
      </c>
      <c r="T24" s="17">
        <v>0</v>
      </c>
      <c r="U24" s="19">
        <v>19</v>
      </c>
      <c r="V24" s="19">
        <v>20</v>
      </c>
      <c r="W24" s="19">
        <v>0</v>
      </c>
      <c r="X24" s="7">
        <v>0</v>
      </c>
      <c r="Y24" s="7">
        <v>0</v>
      </c>
      <c r="Z24" s="7">
        <v>0</v>
      </c>
      <c r="AA24" s="7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1"/>
    </row>
    <row r="25" spans="1:33" x14ac:dyDescent="0.3">
      <c r="C25" s="7" t="s">
        <v>82</v>
      </c>
      <c r="D25" s="7">
        <f>water!D14</f>
        <v>0</v>
      </c>
      <c r="E25" s="7">
        <f>glucose!D14</f>
        <v>0</v>
      </c>
      <c r="F25" s="7">
        <f>sucrose!D14</f>
        <v>0</v>
      </c>
      <c r="G25" s="7">
        <v>100</v>
      </c>
      <c r="H25" s="13">
        <v>100</v>
      </c>
      <c r="I25" s="7">
        <f>'gastic milk choc'!D14</f>
        <v>0</v>
      </c>
      <c r="J25" s="7">
        <f>'gastic milk choc arab'!D14</f>
        <v>0</v>
      </c>
      <c r="K25" s="7">
        <f>emulsie!D14</f>
        <v>0</v>
      </c>
      <c r="L25" s="7">
        <f>arabinose!D14</f>
        <v>0</v>
      </c>
      <c r="M25" s="7">
        <v>0</v>
      </c>
      <c r="N25" s="7">
        <v>0</v>
      </c>
      <c r="O25" s="7">
        <v>0</v>
      </c>
      <c r="P25">
        <v>50</v>
      </c>
      <c r="Q25">
        <v>100</v>
      </c>
      <c r="R25" s="17">
        <v>60</v>
      </c>
      <c r="S25" s="17">
        <v>100</v>
      </c>
      <c r="T25" s="17">
        <v>0</v>
      </c>
      <c r="U25" s="19">
        <v>60</v>
      </c>
      <c r="V25" s="19">
        <v>100</v>
      </c>
      <c r="W25" s="19">
        <v>0</v>
      </c>
      <c r="X25" s="7">
        <v>0</v>
      </c>
      <c r="Y25" s="7">
        <v>0</v>
      </c>
      <c r="Z25" s="7">
        <v>0</v>
      </c>
      <c r="AA25" s="7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11"/>
    </row>
    <row r="26" spans="1:33" x14ac:dyDescent="0.3">
      <c r="C26" s="7" t="s">
        <v>81</v>
      </c>
      <c r="D26" s="7">
        <f>water!D15</f>
        <v>0</v>
      </c>
      <c r="E26" s="7">
        <f>glucose!D15</f>
        <v>0</v>
      </c>
      <c r="F26" s="7">
        <f>sucrose!D15</f>
        <v>0</v>
      </c>
      <c r="G26" s="7">
        <f>'milk choc'!D15</f>
        <v>0</v>
      </c>
      <c r="H26" s="13">
        <f>'milk chocolate arabinose'!D15</f>
        <v>0</v>
      </c>
      <c r="I26" s="7">
        <f>'gastic milk choc'!D15</f>
        <v>0</v>
      </c>
      <c r="J26" s="7">
        <f>'gastic milk choc arab'!D15</f>
        <v>0</v>
      </c>
      <c r="K26" s="7">
        <f>emulsie!D15</f>
        <v>0</v>
      </c>
      <c r="L26" s="7">
        <f>arabinose!D15</f>
        <v>0</v>
      </c>
      <c r="M26" s="7">
        <v>0</v>
      </c>
      <c r="N26" s="7">
        <v>0</v>
      </c>
      <c r="O26" s="7">
        <v>0</v>
      </c>
      <c r="P26">
        <v>0</v>
      </c>
      <c r="Q26">
        <v>0</v>
      </c>
      <c r="R26" s="17">
        <v>0</v>
      </c>
      <c r="S26" s="17">
        <v>0</v>
      </c>
      <c r="T26" s="17">
        <v>0</v>
      </c>
      <c r="U26" s="19">
        <v>20</v>
      </c>
      <c r="V26" s="19">
        <v>0</v>
      </c>
      <c r="W26" s="19">
        <v>0</v>
      </c>
      <c r="X26" s="7">
        <v>0</v>
      </c>
      <c r="Y26" s="7">
        <v>0</v>
      </c>
      <c r="Z26" s="7">
        <v>0</v>
      </c>
      <c r="AA26" s="7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11"/>
    </row>
    <row r="27" spans="1:33" x14ac:dyDescent="0.3">
      <c r="C27" s="7" t="s">
        <v>82</v>
      </c>
      <c r="D27" s="7">
        <f>water!D16</f>
        <v>0</v>
      </c>
      <c r="E27" s="7">
        <f>glucose!D16</f>
        <v>0</v>
      </c>
      <c r="F27" s="7">
        <f>sucrose!D16</f>
        <v>0</v>
      </c>
      <c r="G27" s="7">
        <f>'milk choc'!D16</f>
        <v>0</v>
      </c>
      <c r="H27" s="13">
        <f>'milk chocolate arabinose'!D16</f>
        <v>0</v>
      </c>
      <c r="I27" s="7">
        <f>'gastic milk choc'!D16</f>
        <v>0</v>
      </c>
      <c r="J27" s="7">
        <f>'gastic milk choc arab'!D16</f>
        <v>0</v>
      </c>
      <c r="K27" s="7">
        <f>emulsie!D16</f>
        <v>0</v>
      </c>
      <c r="L27" s="7">
        <f>arabinose!D16</f>
        <v>0</v>
      </c>
      <c r="M27" s="7">
        <v>0</v>
      </c>
      <c r="N27" s="7">
        <v>0</v>
      </c>
      <c r="O27" s="7">
        <v>0</v>
      </c>
      <c r="P27">
        <v>0</v>
      </c>
      <c r="Q27">
        <v>0</v>
      </c>
      <c r="R27" s="17">
        <v>40</v>
      </c>
      <c r="S27" s="17">
        <v>0</v>
      </c>
      <c r="T27" s="17">
        <v>0</v>
      </c>
      <c r="U27" s="19">
        <v>40</v>
      </c>
      <c r="V27" s="19">
        <v>0</v>
      </c>
      <c r="W27" s="19">
        <v>0</v>
      </c>
      <c r="X27" s="7">
        <v>0</v>
      </c>
      <c r="Y27" s="7">
        <v>0</v>
      </c>
      <c r="Z27" s="7">
        <v>0</v>
      </c>
      <c r="AA27" s="7">
        <v>0</v>
      </c>
      <c r="AB27" s="8">
        <v>0</v>
      </c>
      <c r="AC27" s="1">
        <v>0</v>
      </c>
      <c r="AD27" s="8">
        <v>0</v>
      </c>
      <c r="AE27" s="8">
        <v>0</v>
      </c>
      <c r="AF27" s="8">
        <v>0</v>
      </c>
      <c r="AG27" s="11"/>
    </row>
    <row r="28" spans="1:33" s="1" customFormat="1" x14ac:dyDescent="0.3">
      <c r="A28" s="1" t="s">
        <v>92</v>
      </c>
      <c r="C28" s="1" t="s">
        <v>27</v>
      </c>
      <c r="D28" s="1">
        <v>0.1</v>
      </c>
      <c r="E28" s="1">
        <v>0.1</v>
      </c>
      <c r="F28" s="1">
        <v>0.1</v>
      </c>
      <c r="G28" s="1">
        <v>1</v>
      </c>
      <c r="H28" s="15">
        <v>1</v>
      </c>
      <c r="I28" s="1">
        <v>1</v>
      </c>
      <c r="J28" s="1">
        <v>1</v>
      </c>
      <c r="K28" s="1">
        <f>emulsie!D17</f>
        <v>1</v>
      </c>
      <c r="L28" s="1">
        <v>0.1</v>
      </c>
      <c r="M28" s="1">
        <v>2</v>
      </c>
      <c r="N28" s="1">
        <v>10</v>
      </c>
      <c r="O28" s="1">
        <v>1</v>
      </c>
      <c r="P28" s="1">
        <v>10</v>
      </c>
      <c r="Q28" s="1">
        <v>100</v>
      </c>
      <c r="R28" s="18">
        <v>10</v>
      </c>
      <c r="S28" s="18">
        <v>20</v>
      </c>
      <c r="T28" s="18">
        <v>20</v>
      </c>
      <c r="U28" s="20">
        <v>10</v>
      </c>
      <c r="V28" s="20">
        <v>20</v>
      </c>
      <c r="W28" s="20">
        <v>20</v>
      </c>
      <c r="X28" s="1">
        <v>0.1</v>
      </c>
      <c r="Y28" s="1">
        <v>0.1</v>
      </c>
      <c r="Z28" s="1">
        <v>0.1</v>
      </c>
      <c r="AA28" s="1">
        <v>0.1</v>
      </c>
      <c r="AB28" s="1">
        <v>1</v>
      </c>
      <c r="AC28" s="1">
        <v>0.1</v>
      </c>
      <c r="AD28" s="1">
        <v>0.1</v>
      </c>
      <c r="AE28" s="1">
        <v>0.1</v>
      </c>
      <c r="AF28" s="1">
        <v>1</v>
      </c>
      <c r="AG28" s="16"/>
    </row>
    <row r="29" spans="1:33" x14ac:dyDescent="0.3">
      <c r="C29" s="7" t="s">
        <v>80</v>
      </c>
      <c r="D29" s="7">
        <f>water!D18</f>
        <v>0</v>
      </c>
      <c r="E29" s="7">
        <f>glucose!D18</f>
        <v>0</v>
      </c>
      <c r="F29" s="7">
        <f>sucrose!D18</f>
        <v>0</v>
      </c>
      <c r="G29" s="7">
        <v>6</v>
      </c>
      <c r="H29" s="13">
        <v>7</v>
      </c>
      <c r="I29" s="7">
        <f>'gastic milk choc'!D18</f>
        <v>0</v>
      </c>
      <c r="J29" s="7">
        <f>'gastic milk choc arab'!D18</f>
        <v>0</v>
      </c>
      <c r="K29" s="7">
        <f>emulsie!D18</f>
        <v>0</v>
      </c>
      <c r="L29" s="7">
        <f>arabinose!D18</f>
        <v>0</v>
      </c>
      <c r="M29" s="7">
        <v>0</v>
      </c>
      <c r="N29" s="7">
        <v>0</v>
      </c>
      <c r="O29" s="7">
        <v>0</v>
      </c>
      <c r="P29">
        <v>10</v>
      </c>
      <c r="Q29">
        <v>11</v>
      </c>
      <c r="R29" s="17">
        <v>16</v>
      </c>
      <c r="S29" s="17">
        <v>17</v>
      </c>
      <c r="T29" s="17">
        <v>0</v>
      </c>
      <c r="U29" s="19">
        <v>19</v>
      </c>
      <c r="V29" s="19">
        <v>20</v>
      </c>
      <c r="W29" s="19">
        <v>0</v>
      </c>
      <c r="X29" s="7">
        <v>0</v>
      </c>
      <c r="Y29" s="7">
        <v>0</v>
      </c>
      <c r="Z29" s="7">
        <v>0</v>
      </c>
      <c r="AA29" s="7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11"/>
    </row>
    <row r="30" spans="1:33" x14ac:dyDescent="0.3">
      <c r="C30" s="7" t="s">
        <v>82</v>
      </c>
      <c r="D30" s="7">
        <f>water!D19</f>
        <v>0</v>
      </c>
      <c r="E30" s="7">
        <f>glucose!D19</f>
        <v>0</v>
      </c>
      <c r="F30" s="7">
        <f>sucrose!D19</f>
        <v>0</v>
      </c>
      <c r="G30" s="7">
        <v>100</v>
      </c>
      <c r="H30" s="13">
        <v>100</v>
      </c>
      <c r="I30" s="7">
        <f>'gastic milk choc'!D19</f>
        <v>0</v>
      </c>
      <c r="J30" s="7">
        <f>'gastic milk choc arab'!D19</f>
        <v>0</v>
      </c>
      <c r="K30" s="7">
        <f>emulsie!D19</f>
        <v>0</v>
      </c>
      <c r="L30" s="7">
        <f>arabinose!D19</f>
        <v>0</v>
      </c>
      <c r="M30" s="7">
        <v>0</v>
      </c>
      <c r="N30" s="7">
        <v>0</v>
      </c>
      <c r="O30" s="7">
        <v>0</v>
      </c>
      <c r="P30">
        <v>50</v>
      </c>
      <c r="Q30">
        <v>100</v>
      </c>
      <c r="R30" s="17">
        <v>50</v>
      </c>
      <c r="S30" s="17">
        <v>100</v>
      </c>
      <c r="T30" s="17">
        <v>0</v>
      </c>
      <c r="U30" s="19">
        <v>50</v>
      </c>
      <c r="V30" s="19">
        <v>100</v>
      </c>
      <c r="W30" s="19">
        <v>0</v>
      </c>
      <c r="X30" s="7">
        <v>0</v>
      </c>
      <c r="Y30" s="7">
        <v>0</v>
      </c>
      <c r="Z30" s="7">
        <v>0</v>
      </c>
      <c r="AA30" s="7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11"/>
    </row>
    <row r="31" spans="1:33" x14ac:dyDescent="0.3">
      <c r="C31" s="7" t="s">
        <v>81</v>
      </c>
      <c r="D31" s="7">
        <f>water!D20</f>
        <v>0</v>
      </c>
      <c r="E31" s="7">
        <f>glucose!D20</f>
        <v>0</v>
      </c>
      <c r="F31" s="7">
        <f>sucrose!D20</f>
        <v>0</v>
      </c>
      <c r="G31" s="7">
        <f>'milk choc'!D20</f>
        <v>0</v>
      </c>
      <c r="H31" s="13">
        <f>'milk chocolate arabinose'!D20</f>
        <v>0</v>
      </c>
      <c r="I31" s="7">
        <f>'gastic milk choc'!D20</f>
        <v>0</v>
      </c>
      <c r="J31" s="7">
        <f>'gastic milk choc arab'!D20</f>
        <v>0</v>
      </c>
      <c r="K31" s="7">
        <f>emulsie!D20</f>
        <v>0</v>
      </c>
      <c r="L31" s="7">
        <f>arabinose!D20</f>
        <v>0</v>
      </c>
      <c r="M31" s="7">
        <v>0</v>
      </c>
      <c r="N31" s="7">
        <v>0</v>
      </c>
      <c r="O31" s="7">
        <v>0</v>
      </c>
      <c r="P31">
        <v>0</v>
      </c>
      <c r="Q31">
        <v>0</v>
      </c>
      <c r="R31" s="17">
        <v>0</v>
      </c>
      <c r="S31" s="17">
        <v>0</v>
      </c>
      <c r="T31" s="17">
        <v>0</v>
      </c>
      <c r="U31" s="19">
        <v>20</v>
      </c>
      <c r="V31" s="19">
        <v>0</v>
      </c>
      <c r="W31" s="19">
        <v>0</v>
      </c>
      <c r="X31" s="7">
        <v>0</v>
      </c>
      <c r="Y31" s="7">
        <v>0</v>
      </c>
      <c r="Z31" s="7">
        <v>0</v>
      </c>
      <c r="AA31" s="7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11"/>
    </row>
    <row r="32" spans="1:33" x14ac:dyDescent="0.3">
      <c r="C32" s="7" t="s">
        <v>82</v>
      </c>
      <c r="D32" s="7">
        <f>water!D21</f>
        <v>0</v>
      </c>
      <c r="E32" s="7">
        <f>glucose!D21</f>
        <v>0</v>
      </c>
      <c r="F32" s="7">
        <f>sucrose!D21</f>
        <v>0</v>
      </c>
      <c r="G32" s="7">
        <f>'milk choc'!D21</f>
        <v>0</v>
      </c>
      <c r="H32" s="13">
        <f>'milk chocolate arabinose'!D21</f>
        <v>0</v>
      </c>
      <c r="I32" s="7">
        <f>'gastic milk choc'!D21</f>
        <v>0</v>
      </c>
      <c r="J32" s="7">
        <f>'gastic milk choc arab'!D21</f>
        <v>0</v>
      </c>
      <c r="K32" s="7">
        <f>emulsie!D21</f>
        <v>0</v>
      </c>
      <c r="L32" s="7">
        <f>arabinose!D21</f>
        <v>0</v>
      </c>
      <c r="M32" s="7">
        <v>0</v>
      </c>
      <c r="N32" s="7">
        <v>0</v>
      </c>
      <c r="O32" s="7">
        <v>0</v>
      </c>
      <c r="P32">
        <v>0</v>
      </c>
      <c r="Q32">
        <v>0</v>
      </c>
      <c r="R32" s="17">
        <v>50</v>
      </c>
      <c r="S32" s="17">
        <v>0</v>
      </c>
      <c r="T32" s="17">
        <v>0</v>
      </c>
      <c r="U32" s="19">
        <v>50</v>
      </c>
      <c r="V32" s="19">
        <v>0</v>
      </c>
      <c r="W32" s="19">
        <v>0</v>
      </c>
      <c r="X32" s="7">
        <v>0</v>
      </c>
      <c r="Y32" s="7">
        <v>0</v>
      </c>
      <c r="Z32" s="7">
        <v>0</v>
      </c>
      <c r="AA32" s="7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11"/>
    </row>
    <row r="33" spans="1:32" x14ac:dyDescent="0.3">
      <c r="H33" s="13"/>
      <c r="P33"/>
      <c r="Q33"/>
      <c r="S33"/>
      <c r="T33"/>
      <c r="U33"/>
      <c r="V33"/>
      <c r="W33"/>
    </row>
    <row r="34" spans="1:32" x14ac:dyDescent="0.3">
      <c r="B34" s="8"/>
      <c r="C34" s="8"/>
      <c r="H34" s="13"/>
      <c r="P34"/>
      <c r="Q34"/>
      <c r="S34"/>
      <c r="T34"/>
      <c r="U34"/>
      <c r="V34"/>
      <c r="W34"/>
    </row>
    <row r="35" spans="1:32" x14ac:dyDescent="0.3">
      <c r="B35" s="8" t="s">
        <v>26</v>
      </c>
      <c r="C35" s="8"/>
      <c r="H35" s="13"/>
      <c r="P35"/>
      <c r="Q35"/>
      <c r="S35"/>
      <c r="T35"/>
      <c r="U35"/>
      <c r="V35"/>
      <c r="W35"/>
    </row>
    <row r="36" spans="1:32" x14ac:dyDescent="0.3">
      <c r="A36" s="7">
        <v>1</v>
      </c>
      <c r="B36" s="7" t="s">
        <v>8</v>
      </c>
      <c r="C36" s="7" t="s">
        <v>28</v>
      </c>
      <c r="D36" s="7">
        <f>water!D25</f>
        <v>100</v>
      </c>
      <c r="E36" s="7">
        <f>glucose!D25</f>
        <v>0</v>
      </c>
      <c r="F36" s="7">
        <f>sucrose!D25</f>
        <v>0</v>
      </c>
      <c r="G36" s="7">
        <f>'milk choc'!D25</f>
        <v>0</v>
      </c>
      <c r="H36" s="13">
        <f>'milk chocolate arabinose'!D25</f>
        <v>0</v>
      </c>
      <c r="I36" s="7">
        <f>'gastic milk choc'!D25</f>
        <v>36.94</v>
      </c>
      <c r="J36" s="7">
        <f>'gastic milk choc arab'!D25</f>
        <v>36.94</v>
      </c>
      <c r="K36" s="7">
        <f>emulsie!D25</f>
        <v>50</v>
      </c>
      <c r="L36" s="7">
        <f>arabinose!D25</f>
        <v>0</v>
      </c>
      <c r="M36" s="7">
        <v>0</v>
      </c>
      <c r="N36" s="7">
        <v>0</v>
      </c>
      <c r="O36" s="7">
        <v>0</v>
      </c>
      <c r="P36">
        <v>14</v>
      </c>
      <c r="Q36">
        <v>14</v>
      </c>
      <c r="R36" s="7">
        <v>67</v>
      </c>
      <c r="S36">
        <v>67</v>
      </c>
      <c r="T36">
        <v>67</v>
      </c>
      <c r="U36">
        <v>54</v>
      </c>
      <c r="V36">
        <v>54</v>
      </c>
      <c r="W36">
        <v>54</v>
      </c>
      <c r="X36" s="7">
        <v>100</v>
      </c>
      <c r="Y36" s="7">
        <v>100</v>
      </c>
      <c r="Z36" s="7">
        <v>100</v>
      </c>
      <c r="AA36" s="7">
        <v>100</v>
      </c>
      <c r="AB36" s="8">
        <v>0</v>
      </c>
      <c r="AC36" s="8">
        <v>0</v>
      </c>
      <c r="AD36" s="8">
        <v>0</v>
      </c>
      <c r="AE36" s="8">
        <v>0</v>
      </c>
      <c r="AF36" s="8">
        <v>113</v>
      </c>
    </row>
    <row r="37" spans="1:32" x14ac:dyDescent="0.3">
      <c r="A37" s="7">
        <v>2</v>
      </c>
      <c r="B37" s="7" t="s">
        <v>36</v>
      </c>
      <c r="C37" s="7" t="s">
        <v>28</v>
      </c>
      <c r="D37" s="7">
        <f>water!D26</f>
        <v>0</v>
      </c>
      <c r="E37" s="7">
        <f>glucose!D26</f>
        <v>0</v>
      </c>
      <c r="F37" s="7">
        <f>sucrose!D26</f>
        <v>0</v>
      </c>
      <c r="G37" s="7">
        <f>'milk choc'!D26</f>
        <v>32.729999999999997</v>
      </c>
      <c r="H37" s="13">
        <f>'milk chocolate arabinose'!D26</f>
        <v>32.729999999999997</v>
      </c>
      <c r="I37" s="7">
        <f>'gastic milk choc'!D26</f>
        <v>29.13</v>
      </c>
      <c r="J37" s="7">
        <f>'gastic milk choc arab'!D26</f>
        <v>29.13</v>
      </c>
      <c r="K37" s="7">
        <f>emulsie!D26</f>
        <v>50</v>
      </c>
      <c r="L37" s="7">
        <f>arabinose!D26</f>
        <v>0</v>
      </c>
      <c r="M37" s="7">
        <v>0</v>
      </c>
      <c r="N37" s="7">
        <v>0</v>
      </c>
      <c r="O37" s="7">
        <v>0</v>
      </c>
      <c r="P37">
        <v>0</v>
      </c>
      <c r="Q37">
        <v>0</v>
      </c>
      <c r="R37" s="7">
        <v>9</v>
      </c>
      <c r="S37">
        <v>9</v>
      </c>
      <c r="T37">
        <v>9</v>
      </c>
      <c r="U37">
        <v>9</v>
      </c>
      <c r="V37">
        <v>9</v>
      </c>
      <c r="W37">
        <v>9</v>
      </c>
      <c r="X37" s="7">
        <v>0</v>
      </c>
      <c r="Y37" s="7">
        <v>0</v>
      </c>
      <c r="Z37" s="7">
        <v>0</v>
      </c>
      <c r="AA37" s="7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</row>
    <row r="38" spans="1:32" x14ac:dyDescent="0.3">
      <c r="A38" s="7">
        <v>3</v>
      </c>
      <c r="B38" s="7" t="s">
        <v>2</v>
      </c>
      <c r="C38" s="7" t="s">
        <v>28</v>
      </c>
      <c r="D38" s="7">
        <f>water!D27</f>
        <v>0</v>
      </c>
      <c r="E38" s="7">
        <v>99</v>
      </c>
      <c r="F38" s="7">
        <f>sucrose!D27</f>
        <v>0</v>
      </c>
      <c r="G38" s="7">
        <f>'milk choc'!D27</f>
        <v>0</v>
      </c>
      <c r="H38" s="13">
        <f>'milk chocolate arabinose'!D27</f>
        <v>0</v>
      </c>
      <c r="I38" s="7">
        <f>'gastic milk choc'!D27</f>
        <v>0</v>
      </c>
      <c r="J38" s="7">
        <f>'gastic milk choc arab'!D27</f>
        <v>0</v>
      </c>
      <c r="K38" s="7">
        <f>emulsie!D27</f>
        <v>0</v>
      </c>
      <c r="L38" s="7">
        <f>arabinose!D27</f>
        <v>0</v>
      </c>
      <c r="M38" s="7">
        <v>0</v>
      </c>
      <c r="N38" s="7">
        <v>0</v>
      </c>
      <c r="O38" s="7">
        <v>0</v>
      </c>
      <c r="P38">
        <v>0</v>
      </c>
      <c r="Q38">
        <v>0</v>
      </c>
      <c r="R38" s="7">
        <v>0</v>
      </c>
      <c r="S38">
        <v>0</v>
      </c>
      <c r="T38">
        <v>0</v>
      </c>
      <c r="U38">
        <v>0</v>
      </c>
      <c r="V38">
        <v>0</v>
      </c>
      <c r="W38">
        <v>0</v>
      </c>
      <c r="X38" s="7">
        <v>0</v>
      </c>
      <c r="Y38" s="7">
        <v>0</v>
      </c>
      <c r="Z38" s="7">
        <v>0</v>
      </c>
      <c r="AA38" s="7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</row>
    <row r="39" spans="1:32" x14ac:dyDescent="0.3">
      <c r="A39" s="7">
        <v>4</v>
      </c>
      <c r="B39" s="7" t="s">
        <v>9</v>
      </c>
      <c r="C39" s="7" t="s">
        <v>28</v>
      </c>
      <c r="D39" s="7">
        <f>water!D28</f>
        <v>0</v>
      </c>
      <c r="E39" s="7">
        <f>glucose!D28</f>
        <v>0</v>
      </c>
      <c r="F39" s="7">
        <f>sucrose!D28</f>
        <v>0</v>
      </c>
      <c r="G39" s="7">
        <f>'milk choc'!D28</f>
        <v>1.08</v>
      </c>
      <c r="H39" s="13">
        <f>'milk chocolate arabinose'!D28</f>
        <v>1.08</v>
      </c>
      <c r="I39" s="7">
        <f>'gastic milk choc'!D28</f>
        <v>1.08</v>
      </c>
      <c r="J39" s="7">
        <f>'gastic milk choc arab'!D28</f>
        <v>1.08</v>
      </c>
      <c r="K39" s="7">
        <f>emulsie!D28</f>
        <v>0</v>
      </c>
      <c r="L39" s="7">
        <f>arabinose!D28</f>
        <v>0</v>
      </c>
      <c r="M39" s="7">
        <v>0</v>
      </c>
      <c r="N39" s="7">
        <v>0</v>
      </c>
      <c r="O39" s="7">
        <v>0</v>
      </c>
      <c r="P39">
        <v>0</v>
      </c>
      <c r="Q39">
        <v>0</v>
      </c>
      <c r="R39" s="7">
        <v>6</v>
      </c>
      <c r="S39">
        <v>6</v>
      </c>
      <c r="T39">
        <v>6</v>
      </c>
      <c r="U39">
        <v>0</v>
      </c>
      <c r="V39">
        <v>0</v>
      </c>
      <c r="W39">
        <v>0</v>
      </c>
      <c r="X39" s="7">
        <v>0</v>
      </c>
      <c r="Y39" s="7">
        <v>0</v>
      </c>
      <c r="Z39" s="7">
        <v>0</v>
      </c>
      <c r="AA39" s="7">
        <v>0</v>
      </c>
      <c r="AB39" s="8">
        <v>0</v>
      </c>
      <c r="AC39" s="8">
        <v>0</v>
      </c>
      <c r="AD39" s="8">
        <v>0</v>
      </c>
      <c r="AE39" s="8">
        <v>0</v>
      </c>
      <c r="AF39" s="8">
        <v>6</v>
      </c>
    </row>
    <row r="40" spans="1:32" x14ac:dyDescent="0.3">
      <c r="A40" s="7">
        <v>5</v>
      </c>
      <c r="B40" s="7" t="s">
        <v>20</v>
      </c>
      <c r="C40" s="7" t="s">
        <v>28</v>
      </c>
      <c r="D40" s="7">
        <f>water!D29</f>
        <v>0</v>
      </c>
      <c r="E40" s="7">
        <f>glucose!D29</f>
        <v>0</v>
      </c>
      <c r="F40" s="7">
        <f>sucrose!D29</f>
        <v>0</v>
      </c>
      <c r="G40" s="7">
        <f>'milk choc'!D29</f>
        <v>0</v>
      </c>
      <c r="H40" s="13">
        <f>'milk chocolate arabinose'!D29</f>
        <v>0</v>
      </c>
      <c r="I40" s="7">
        <f>'gastic milk choc'!D29</f>
        <v>0</v>
      </c>
      <c r="J40" s="7">
        <f>'gastic milk choc arab'!D29</f>
        <v>0</v>
      </c>
      <c r="K40" s="7">
        <f>emulsie!D29</f>
        <v>0</v>
      </c>
      <c r="L40" s="7">
        <f>arabinose!D29</f>
        <v>0</v>
      </c>
      <c r="M40" s="7">
        <v>0</v>
      </c>
      <c r="N40" s="7">
        <v>0</v>
      </c>
      <c r="O40" s="7">
        <v>0</v>
      </c>
      <c r="P40">
        <v>0</v>
      </c>
      <c r="Q40">
        <v>0</v>
      </c>
      <c r="R40" s="7">
        <v>0</v>
      </c>
      <c r="S40">
        <v>0</v>
      </c>
      <c r="T40">
        <v>0</v>
      </c>
      <c r="U40">
        <v>0</v>
      </c>
      <c r="V40">
        <v>0</v>
      </c>
      <c r="W40">
        <v>0</v>
      </c>
      <c r="X40" s="7">
        <v>0</v>
      </c>
      <c r="Y40" s="7">
        <v>0</v>
      </c>
      <c r="Z40" s="7">
        <v>0</v>
      </c>
      <c r="AA40" s="7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</row>
    <row r="41" spans="1:32" x14ac:dyDescent="0.3">
      <c r="A41" s="7">
        <v>6</v>
      </c>
      <c r="B41" s="7" t="s">
        <v>66</v>
      </c>
      <c r="C41" s="7" t="s">
        <v>28</v>
      </c>
      <c r="D41" s="7">
        <f>water!D30</f>
        <v>0</v>
      </c>
      <c r="E41" s="7">
        <f>glucose!D30</f>
        <v>0</v>
      </c>
      <c r="F41" s="7">
        <f>sucrose!D30</f>
        <v>0</v>
      </c>
      <c r="G41" s="7">
        <f>'milk choc'!D30</f>
        <v>0</v>
      </c>
      <c r="H41" s="13">
        <f>'milk chocolate arabinose'!D30</f>
        <v>0</v>
      </c>
      <c r="I41" s="7">
        <f>'gastic milk choc'!D30</f>
        <v>0</v>
      </c>
      <c r="J41" s="7">
        <f>'gastic milk choc arab'!D30</f>
        <v>0</v>
      </c>
      <c r="K41" s="7">
        <f>emulsie!D30</f>
        <v>0</v>
      </c>
      <c r="L41" s="7">
        <f>arabinose!D30</f>
        <v>0</v>
      </c>
      <c r="M41" s="7">
        <v>0</v>
      </c>
      <c r="N41" s="7">
        <v>0</v>
      </c>
      <c r="O41" s="7">
        <v>0</v>
      </c>
      <c r="P41">
        <v>0</v>
      </c>
      <c r="Q41">
        <v>0</v>
      </c>
      <c r="R41" s="7">
        <v>0</v>
      </c>
      <c r="S41">
        <v>0</v>
      </c>
      <c r="T41">
        <v>0</v>
      </c>
      <c r="U41">
        <v>0</v>
      </c>
      <c r="V41">
        <v>0</v>
      </c>
      <c r="W41">
        <v>0</v>
      </c>
      <c r="X41" s="7">
        <v>0</v>
      </c>
      <c r="Y41" s="7">
        <v>0</v>
      </c>
      <c r="Z41" s="7">
        <v>0</v>
      </c>
      <c r="AA41" s="7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</row>
    <row r="42" spans="1:32" x14ac:dyDescent="0.3">
      <c r="A42" s="7">
        <v>10</v>
      </c>
      <c r="B42" s="7" t="s">
        <v>15</v>
      </c>
      <c r="C42" s="7" t="s">
        <v>28</v>
      </c>
      <c r="D42" s="7">
        <f>water!D31</f>
        <v>0</v>
      </c>
      <c r="E42" s="7">
        <f>glucose!D31</f>
        <v>0</v>
      </c>
      <c r="F42" s="7">
        <f>sucrose!D31</f>
        <v>0</v>
      </c>
      <c r="G42" s="7">
        <f>'milk choc'!D31</f>
        <v>0</v>
      </c>
      <c r="H42" s="13">
        <f>'milk chocolate arabinose'!D31</f>
        <v>0</v>
      </c>
      <c r="I42" s="7">
        <f>'gastic milk choc'!D31</f>
        <v>0</v>
      </c>
      <c r="J42" s="7">
        <f>'gastic milk choc arab'!D31</f>
        <v>0</v>
      </c>
      <c r="K42" s="7">
        <f>emulsie!D31</f>
        <v>0</v>
      </c>
      <c r="L42" s="7">
        <f>arabinose!D31</f>
        <v>0</v>
      </c>
      <c r="M42" s="7">
        <v>99</v>
      </c>
      <c r="N42" s="7">
        <v>0</v>
      </c>
      <c r="O42" s="7">
        <v>0</v>
      </c>
      <c r="P42">
        <v>75</v>
      </c>
      <c r="Q42">
        <v>0</v>
      </c>
      <c r="R42" s="7">
        <v>50</v>
      </c>
      <c r="S42">
        <v>50</v>
      </c>
      <c r="T42">
        <v>50</v>
      </c>
      <c r="U42">
        <v>50</v>
      </c>
      <c r="V42">
        <v>50</v>
      </c>
      <c r="W42">
        <v>50</v>
      </c>
      <c r="X42" s="7">
        <v>0</v>
      </c>
      <c r="Y42" s="7">
        <v>0</v>
      </c>
      <c r="Z42" s="7">
        <v>0</v>
      </c>
      <c r="AA42" s="7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</row>
    <row r="43" spans="1:32" x14ac:dyDescent="0.3">
      <c r="A43" s="7">
        <v>11</v>
      </c>
      <c r="B43" s="7" t="s">
        <v>16</v>
      </c>
      <c r="C43" s="7" t="s">
        <v>28</v>
      </c>
      <c r="D43" s="7">
        <f>water!D32</f>
        <v>0</v>
      </c>
      <c r="E43" s="7">
        <f>glucose!D32</f>
        <v>0</v>
      </c>
      <c r="F43" s="7">
        <f>sucrose!D32</f>
        <v>0</v>
      </c>
      <c r="G43" s="7">
        <f>'milk choc'!D32</f>
        <v>0</v>
      </c>
      <c r="H43" s="13">
        <f>'milk chocolate arabinose'!D32</f>
        <v>0</v>
      </c>
      <c r="I43" s="7">
        <f>'gastic milk choc'!D32</f>
        <v>0</v>
      </c>
      <c r="J43" s="7">
        <f>'gastic milk choc arab'!D32</f>
        <v>0</v>
      </c>
      <c r="K43" s="7">
        <f>emulsie!D32</f>
        <v>0</v>
      </c>
      <c r="L43" s="7">
        <f>arabinose!D32</f>
        <v>0</v>
      </c>
      <c r="M43" s="7">
        <v>0</v>
      </c>
      <c r="N43" s="7">
        <v>99</v>
      </c>
      <c r="O43" s="7">
        <v>0</v>
      </c>
      <c r="P43">
        <v>0</v>
      </c>
      <c r="Q43">
        <v>75</v>
      </c>
      <c r="R43" s="7">
        <v>0</v>
      </c>
      <c r="S43">
        <v>0</v>
      </c>
      <c r="T43">
        <v>0</v>
      </c>
      <c r="U43">
        <v>0</v>
      </c>
      <c r="V43">
        <v>0</v>
      </c>
      <c r="W43">
        <v>0</v>
      </c>
      <c r="X43" s="7">
        <v>0</v>
      </c>
      <c r="Y43" s="7">
        <v>0</v>
      </c>
      <c r="Z43" s="7">
        <v>0</v>
      </c>
      <c r="AA43" s="7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</row>
    <row r="44" spans="1:32" x14ac:dyDescent="0.3">
      <c r="A44" s="7">
        <v>12</v>
      </c>
      <c r="B44" s="7" t="s">
        <v>17</v>
      </c>
      <c r="C44" s="7" t="s">
        <v>28</v>
      </c>
      <c r="D44" s="7">
        <f>water!D33</f>
        <v>0</v>
      </c>
      <c r="E44" s="7">
        <f>glucose!D33</f>
        <v>0</v>
      </c>
      <c r="F44" s="7">
        <f>sucrose!D33</f>
        <v>0</v>
      </c>
      <c r="G44" s="7">
        <f>'milk choc'!D33</f>
        <v>6</v>
      </c>
      <c r="H44" s="13">
        <f>'milk chocolate arabinose'!D33</f>
        <v>6</v>
      </c>
      <c r="I44" s="7">
        <f>'gastic milk choc'!D33</f>
        <v>1.78</v>
      </c>
      <c r="J44" s="7">
        <f>'gastic milk choc arab'!D33</f>
        <v>1.78</v>
      </c>
      <c r="K44" s="7">
        <f>emulsie!D33</f>
        <v>0</v>
      </c>
      <c r="L44" s="7">
        <f>arabinose!D33</f>
        <v>0</v>
      </c>
      <c r="M44" s="7">
        <v>0</v>
      </c>
      <c r="N44" s="7">
        <v>0</v>
      </c>
      <c r="O44" s="7">
        <v>99</v>
      </c>
      <c r="P44">
        <v>0</v>
      </c>
      <c r="Q44">
        <v>0</v>
      </c>
      <c r="R44" s="7">
        <v>0</v>
      </c>
      <c r="S44">
        <v>0</v>
      </c>
      <c r="T44">
        <v>0</v>
      </c>
      <c r="U44">
        <v>0</v>
      </c>
      <c r="V44">
        <v>0</v>
      </c>
      <c r="W44">
        <v>0</v>
      </c>
      <c r="X44" s="7">
        <v>0</v>
      </c>
      <c r="Y44" s="7">
        <v>0</v>
      </c>
      <c r="Z44" s="7">
        <v>0</v>
      </c>
      <c r="AA44" s="7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</row>
    <row r="45" spans="1:32" x14ac:dyDescent="0.3">
      <c r="A45" s="7">
        <v>20</v>
      </c>
      <c r="B45" s="7" t="s">
        <v>3</v>
      </c>
      <c r="C45" s="7" t="s">
        <v>28</v>
      </c>
      <c r="D45" s="7">
        <f>water!D34</f>
        <v>0</v>
      </c>
      <c r="E45" s="7">
        <f>glucose!D34</f>
        <v>0</v>
      </c>
      <c r="F45" s="7">
        <f>sucrose!D34</f>
        <v>0</v>
      </c>
      <c r="G45" s="7">
        <f>'milk choc'!D34</f>
        <v>0</v>
      </c>
      <c r="H45" s="13">
        <f>'milk chocolate arabinose'!D34</f>
        <v>0</v>
      </c>
      <c r="I45" s="7">
        <f>'gastic milk choc'!D34</f>
        <v>0</v>
      </c>
      <c r="J45" s="7">
        <f>'gastic milk choc arab'!D34</f>
        <v>0</v>
      </c>
      <c r="K45" s="7">
        <f>emulsie!D34</f>
        <v>0</v>
      </c>
      <c r="L45" s="7">
        <f>arabinose!D34</f>
        <v>0</v>
      </c>
      <c r="M45" s="7">
        <v>0</v>
      </c>
      <c r="N45" s="7">
        <v>0</v>
      </c>
      <c r="O45" s="7">
        <v>0</v>
      </c>
      <c r="P45">
        <v>0</v>
      </c>
      <c r="Q45">
        <v>0</v>
      </c>
      <c r="R45" s="7">
        <v>0</v>
      </c>
      <c r="S45">
        <v>0</v>
      </c>
      <c r="T45">
        <v>0</v>
      </c>
      <c r="U45">
        <v>0</v>
      </c>
      <c r="V45">
        <v>0</v>
      </c>
      <c r="W45">
        <v>0</v>
      </c>
      <c r="X45" s="7">
        <v>0</v>
      </c>
      <c r="Y45" s="7">
        <v>0</v>
      </c>
      <c r="Z45" s="7">
        <v>0</v>
      </c>
      <c r="AA45" s="7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</row>
    <row r="46" spans="1:32" x14ac:dyDescent="0.3">
      <c r="A46" s="7">
        <v>21</v>
      </c>
      <c r="B46" s="7" t="s">
        <v>4</v>
      </c>
      <c r="C46" s="7" t="s">
        <v>28</v>
      </c>
      <c r="D46" s="7">
        <f>water!D35</f>
        <v>0</v>
      </c>
      <c r="E46" s="7">
        <f>glucose!D35</f>
        <v>0</v>
      </c>
      <c r="F46" s="7">
        <v>98</v>
      </c>
      <c r="G46" s="7">
        <v>40.5</v>
      </c>
      <c r="H46" s="13">
        <v>28.7</v>
      </c>
      <c r="I46" s="7">
        <v>19</v>
      </c>
      <c r="J46" s="7">
        <v>14</v>
      </c>
      <c r="K46" s="7">
        <f>emulsie!D35</f>
        <v>0</v>
      </c>
      <c r="L46" s="7">
        <f>arabinose!D35</f>
        <v>0</v>
      </c>
      <c r="M46" s="7">
        <v>0</v>
      </c>
      <c r="N46" s="7">
        <v>0</v>
      </c>
      <c r="O46" s="7">
        <v>0</v>
      </c>
      <c r="P46">
        <v>9</v>
      </c>
      <c r="Q46">
        <v>9</v>
      </c>
      <c r="R46" s="7">
        <v>0</v>
      </c>
      <c r="S46">
        <v>0</v>
      </c>
      <c r="T46">
        <v>0</v>
      </c>
      <c r="U46">
        <v>0</v>
      </c>
      <c r="V46">
        <v>0</v>
      </c>
      <c r="W46">
        <v>0</v>
      </c>
      <c r="X46" s="7">
        <v>0</v>
      </c>
      <c r="Y46" s="7">
        <v>0</v>
      </c>
      <c r="Z46" s="7">
        <v>0</v>
      </c>
      <c r="AA46" s="7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</row>
    <row r="47" spans="1:32" x14ac:dyDescent="0.3">
      <c r="A47" s="7">
        <v>22</v>
      </c>
      <c r="B47" s="7" t="s">
        <v>37</v>
      </c>
      <c r="C47" s="7" t="s">
        <v>28</v>
      </c>
      <c r="D47" s="7">
        <f>water!D36</f>
        <v>0</v>
      </c>
      <c r="E47" s="7">
        <f>glucose!D36</f>
        <v>0</v>
      </c>
      <c r="F47" s="7">
        <f>sucrose!D36</f>
        <v>0</v>
      </c>
      <c r="G47" s="7">
        <f>'milk choc'!D36</f>
        <v>0</v>
      </c>
      <c r="H47" s="13">
        <f>'milk chocolate arabinose'!D36</f>
        <v>0</v>
      </c>
      <c r="I47" s="7">
        <f>'gastic milk choc'!D36</f>
        <v>0</v>
      </c>
      <c r="J47" s="7">
        <f>'gastic milk choc arab'!D36</f>
        <v>0</v>
      </c>
      <c r="K47" s="7">
        <f>emulsie!D36</f>
        <v>0</v>
      </c>
      <c r="L47" s="7">
        <f>arabinose!D36</f>
        <v>0</v>
      </c>
      <c r="M47" s="7">
        <v>0</v>
      </c>
      <c r="N47" s="7">
        <v>0</v>
      </c>
      <c r="O47" s="7">
        <v>0</v>
      </c>
      <c r="P47">
        <v>0</v>
      </c>
      <c r="Q47">
        <v>0</v>
      </c>
      <c r="R47" s="7">
        <v>0</v>
      </c>
      <c r="S47">
        <v>0</v>
      </c>
      <c r="T47">
        <v>0</v>
      </c>
      <c r="U47">
        <v>0</v>
      </c>
      <c r="V47">
        <v>0</v>
      </c>
      <c r="W47">
        <v>0</v>
      </c>
      <c r="X47" s="7">
        <v>0</v>
      </c>
      <c r="Y47" s="7">
        <v>0</v>
      </c>
      <c r="Z47" s="7">
        <v>0</v>
      </c>
      <c r="AA47" s="7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</row>
    <row r="48" spans="1:32" x14ac:dyDescent="0.3">
      <c r="A48" s="7">
        <v>23</v>
      </c>
      <c r="B48" s="7" t="s">
        <v>18</v>
      </c>
      <c r="C48" s="7" t="s">
        <v>28</v>
      </c>
      <c r="D48" s="7">
        <f>water!D37</f>
        <v>0</v>
      </c>
      <c r="E48" s="7">
        <f>glucose!D37</f>
        <v>0</v>
      </c>
      <c r="F48" s="7">
        <f>sucrose!D37</f>
        <v>0</v>
      </c>
      <c r="G48" s="7">
        <f>'milk choc'!D37</f>
        <v>0</v>
      </c>
      <c r="H48" s="13">
        <f>'milk chocolate arabinose'!D37</f>
        <v>0</v>
      </c>
      <c r="I48" s="7">
        <f>'gastic milk choc'!D37</f>
        <v>0</v>
      </c>
      <c r="J48" s="7">
        <f>'gastic milk choc arab'!D37</f>
        <v>0</v>
      </c>
      <c r="K48" s="7">
        <f>emulsie!D37</f>
        <v>0</v>
      </c>
      <c r="L48" s="7">
        <f>arabinose!D37</f>
        <v>0</v>
      </c>
      <c r="M48" s="7">
        <v>0</v>
      </c>
      <c r="N48" s="7">
        <v>0</v>
      </c>
      <c r="O48" s="7">
        <v>0</v>
      </c>
      <c r="P48">
        <v>0</v>
      </c>
      <c r="Q48">
        <v>0</v>
      </c>
      <c r="R48" s="7">
        <v>0</v>
      </c>
      <c r="S48">
        <v>0</v>
      </c>
      <c r="T48">
        <v>0</v>
      </c>
      <c r="U48">
        <v>0</v>
      </c>
      <c r="V48">
        <v>0</v>
      </c>
      <c r="W48">
        <v>0</v>
      </c>
      <c r="X48" s="7">
        <v>0</v>
      </c>
      <c r="Y48" s="7">
        <v>0</v>
      </c>
      <c r="Z48" s="7">
        <v>0</v>
      </c>
      <c r="AA48" s="7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</row>
    <row r="49" spans="1:32" x14ac:dyDescent="0.3">
      <c r="A49" s="7">
        <v>24</v>
      </c>
      <c r="B49" s="7" t="s">
        <v>100</v>
      </c>
      <c r="C49" s="7" t="s">
        <v>28</v>
      </c>
      <c r="D49" s="7">
        <v>0</v>
      </c>
      <c r="E49" s="7">
        <v>0</v>
      </c>
      <c r="F49" s="7">
        <v>0</v>
      </c>
      <c r="G49" s="7">
        <v>0</v>
      </c>
      <c r="H49" s="13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>
        <v>0</v>
      </c>
      <c r="Q49">
        <v>0</v>
      </c>
      <c r="R49" s="7">
        <v>0</v>
      </c>
      <c r="S49">
        <v>0</v>
      </c>
      <c r="T49">
        <v>0</v>
      </c>
      <c r="U49">
        <v>0</v>
      </c>
      <c r="V49">
        <v>0</v>
      </c>
      <c r="W49">
        <v>0</v>
      </c>
      <c r="X49" s="7">
        <v>0</v>
      </c>
      <c r="Y49" s="7">
        <v>0</v>
      </c>
      <c r="Z49" s="7">
        <v>0</v>
      </c>
      <c r="AA49" s="7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</row>
    <row r="50" spans="1:32" x14ac:dyDescent="0.3">
      <c r="A50" s="7">
        <v>25</v>
      </c>
      <c r="B50" s="7" t="s">
        <v>38</v>
      </c>
      <c r="C50" s="7" t="s">
        <v>28</v>
      </c>
      <c r="D50" s="7">
        <f>water!D38</f>
        <v>0</v>
      </c>
      <c r="E50" s="7">
        <f>glucose!D38</f>
        <v>0</v>
      </c>
      <c r="F50" s="7">
        <f>sucrose!D38</f>
        <v>0</v>
      </c>
      <c r="G50" s="7">
        <f>'milk choc'!D38</f>
        <v>0</v>
      </c>
      <c r="H50" s="13">
        <f>'milk chocolate arabinose'!D38</f>
        <v>11.9</v>
      </c>
      <c r="I50" s="7">
        <f>'gastic milk choc'!D38</f>
        <v>0</v>
      </c>
      <c r="J50" s="7">
        <f>'gastic milk choc arab'!D38</f>
        <v>5</v>
      </c>
      <c r="K50" s="7">
        <f>emulsie!D38</f>
        <v>0</v>
      </c>
      <c r="L50" s="7">
        <f>arabinose!D38</f>
        <v>100</v>
      </c>
      <c r="M50" s="7">
        <v>0</v>
      </c>
      <c r="N50" s="7">
        <v>0</v>
      </c>
      <c r="O50" s="7">
        <v>0</v>
      </c>
      <c r="P50">
        <v>0</v>
      </c>
      <c r="Q50">
        <v>0</v>
      </c>
      <c r="R50" s="7">
        <v>0</v>
      </c>
      <c r="S50">
        <v>0</v>
      </c>
      <c r="T50">
        <v>0</v>
      </c>
      <c r="U50">
        <v>0</v>
      </c>
      <c r="V50">
        <v>0</v>
      </c>
      <c r="W50">
        <v>0</v>
      </c>
      <c r="X50" s="7">
        <v>0</v>
      </c>
      <c r="Y50" s="7">
        <v>0</v>
      </c>
      <c r="Z50" s="7">
        <v>0</v>
      </c>
      <c r="AA50" s="7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</row>
    <row r="51" spans="1:32" x14ac:dyDescent="0.3">
      <c r="A51" s="7">
        <v>26</v>
      </c>
      <c r="B51" s="7" t="s">
        <v>19</v>
      </c>
      <c r="C51" s="7" t="s">
        <v>28</v>
      </c>
      <c r="D51" s="7">
        <f>water!D39</f>
        <v>0</v>
      </c>
      <c r="E51" s="7">
        <f>glucose!D39</f>
        <v>0</v>
      </c>
      <c r="F51" s="7">
        <f>sucrose!D39</f>
        <v>0</v>
      </c>
      <c r="G51" s="7">
        <f>'milk choc'!D39</f>
        <v>0</v>
      </c>
      <c r="H51" s="13">
        <f>'milk chocolate arabinose'!D39</f>
        <v>0</v>
      </c>
      <c r="I51" s="7">
        <f>'gastic milk choc'!D39</f>
        <v>0</v>
      </c>
      <c r="J51" s="7">
        <f>'gastic milk choc arab'!D39</f>
        <v>0</v>
      </c>
      <c r="K51" s="7">
        <f>emulsie!D39</f>
        <v>0</v>
      </c>
      <c r="L51" s="7">
        <f>arabinose!D39</f>
        <v>0</v>
      </c>
      <c r="M51" s="7">
        <v>0</v>
      </c>
      <c r="N51" s="7">
        <v>0</v>
      </c>
      <c r="O51" s="7">
        <v>0</v>
      </c>
      <c r="P51">
        <v>0</v>
      </c>
      <c r="Q51">
        <v>0</v>
      </c>
      <c r="R51" s="7">
        <v>0</v>
      </c>
      <c r="S51">
        <v>0</v>
      </c>
      <c r="T51">
        <v>0</v>
      </c>
      <c r="U51">
        <v>0</v>
      </c>
      <c r="V51">
        <v>0</v>
      </c>
      <c r="W51">
        <v>0</v>
      </c>
      <c r="X51" s="7">
        <v>0</v>
      </c>
      <c r="Y51" s="7">
        <v>0</v>
      </c>
      <c r="Z51" s="7">
        <v>0</v>
      </c>
      <c r="AA51" s="7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</row>
    <row r="52" spans="1:32" x14ac:dyDescent="0.3">
      <c r="A52" s="7">
        <v>27</v>
      </c>
      <c r="B52" s="7" t="s">
        <v>39</v>
      </c>
      <c r="C52" s="7" t="s">
        <v>28</v>
      </c>
      <c r="D52" s="7">
        <f>water!D40</f>
        <v>0</v>
      </c>
      <c r="E52" s="7">
        <f>glucose!D40</f>
        <v>0</v>
      </c>
      <c r="F52" s="7">
        <f>sucrose!D40</f>
        <v>0</v>
      </c>
      <c r="G52" s="7">
        <f>'milk choc'!D40</f>
        <v>0</v>
      </c>
      <c r="H52" s="13">
        <f>'milk chocolate arabinose'!D40</f>
        <v>0</v>
      </c>
      <c r="I52" s="7">
        <f>'gastic milk choc'!D40</f>
        <v>0</v>
      </c>
      <c r="J52" s="7">
        <f>'gastic milk choc arab'!D40</f>
        <v>0</v>
      </c>
      <c r="K52" s="7">
        <f>emulsie!D40</f>
        <v>0</v>
      </c>
      <c r="L52" s="7">
        <f>arabinose!D40</f>
        <v>0</v>
      </c>
      <c r="M52" s="7">
        <v>0</v>
      </c>
      <c r="N52" s="7">
        <v>0</v>
      </c>
      <c r="O52" s="7">
        <v>0</v>
      </c>
      <c r="P52">
        <v>0</v>
      </c>
      <c r="Q52">
        <v>0</v>
      </c>
      <c r="R52" s="7">
        <v>0</v>
      </c>
      <c r="S52">
        <v>0</v>
      </c>
      <c r="T52">
        <v>0</v>
      </c>
      <c r="U52">
        <v>0</v>
      </c>
      <c r="V52">
        <v>0</v>
      </c>
      <c r="W52">
        <v>0</v>
      </c>
      <c r="X52" s="7">
        <v>0</v>
      </c>
      <c r="Y52" s="7">
        <v>0</v>
      </c>
      <c r="Z52" s="7">
        <v>0</v>
      </c>
      <c r="AA52" s="7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</row>
    <row r="53" spans="1:32" x14ac:dyDescent="0.3">
      <c r="A53" s="7">
        <v>34</v>
      </c>
      <c r="B53" s="7" t="s">
        <v>101</v>
      </c>
      <c r="C53" s="7" t="s">
        <v>28</v>
      </c>
      <c r="D53" s="7">
        <v>0</v>
      </c>
      <c r="E53" s="7">
        <v>1</v>
      </c>
      <c r="F53" s="7">
        <v>0</v>
      </c>
      <c r="G53" s="7">
        <v>0</v>
      </c>
      <c r="H53" s="13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>
        <v>0</v>
      </c>
      <c r="Q53">
        <v>0</v>
      </c>
      <c r="R53" s="7">
        <v>0</v>
      </c>
      <c r="S53">
        <v>0</v>
      </c>
      <c r="T53">
        <v>0</v>
      </c>
      <c r="U53">
        <v>0</v>
      </c>
      <c r="V53">
        <v>0</v>
      </c>
      <c r="W53">
        <v>0</v>
      </c>
      <c r="X53" s="7">
        <v>0</v>
      </c>
      <c r="Y53" s="7">
        <v>0</v>
      </c>
      <c r="Z53" s="7">
        <v>0</v>
      </c>
      <c r="AA53" s="7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</row>
    <row r="54" spans="1:32" x14ac:dyDescent="0.3">
      <c r="A54" s="7">
        <v>35</v>
      </c>
      <c r="B54" s="7" t="s">
        <v>102</v>
      </c>
      <c r="C54" s="7" t="s">
        <v>28</v>
      </c>
      <c r="D54" s="7">
        <v>0</v>
      </c>
      <c r="E54" s="7">
        <v>0</v>
      </c>
      <c r="F54" s="7">
        <v>0</v>
      </c>
      <c r="G54" s="7">
        <v>0</v>
      </c>
      <c r="H54" s="13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>
        <v>0</v>
      </c>
      <c r="Q54">
        <v>0</v>
      </c>
      <c r="R54" s="7">
        <v>0</v>
      </c>
      <c r="S54">
        <v>0</v>
      </c>
      <c r="T54">
        <v>0</v>
      </c>
      <c r="U54">
        <v>0</v>
      </c>
      <c r="V54">
        <v>0</v>
      </c>
      <c r="W54">
        <v>0</v>
      </c>
      <c r="X54" s="7">
        <v>0</v>
      </c>
      <c r="Y54" s="7">
        <v>0</v>
      </c>
      <c r="Z54" s="7">
        <v>0</v>
      </c>
      <c r="AA54" s="7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</row>
    <row r="55" spans="1:32" x14ac:dyDescent="0.3">
      <c r="A55" s="7">
        <v>36</v>
      </c>
      <c r="B55" s="7" t="s">
        <v>103</v>
      </c>
      <c r="C55" s="7" t="s">
        <v>28</v>
      </c>
      <c r="D55" s="7">
        <v>0</v>
      </c>
      <c r="E55" s="7">
        <v>0</v>
      </c>
      <c r="F55" s="7">
        <v>2</v>
      </c>
      <c r="G55" s="7">
        <v>1</v>
      </c>
      <c r="H55" s="13">
        <v>1</v>
      </c>
      <c r="I55" s="7">
        <v>1</v>
      </c>
      <c r="J55" s="7">
        <v>1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>
        <v>0</v>
      </c>
      <c r="Q55">
        <v>0</v>
      </c>
      <c r="R55" s="7">
        <v>0</v>
      </c>
      <c r="S55">
        <v>0</v>
      </c>
      <c r="T55">
        <v>0</v>
      </c>
      <c r="U55">
        <v>0</v>
      </c>
      <c r="V55">
        <v>0</v>
      </c>
      <c r="W55">
        <v>0</v>
      </c>
      <c r="X55" s="7">
        <v>0</v>
      </c>
      <c r="Y55" s="7">
        <v>0</v>
      </c>
      <c r="Z55" s="7">
        <v>0</v>
      </c>
      <c r="AA55" s="7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</row>
    <row r="56" spans="1:32" x14ac:dyDescent="0.3">
      <c r="A56" s="7">
        <v>40</v>
      </c>
      <c r="B56" s="7" t="s">
        <v>52</v>
      </c>
      <c r="C56" s="7" t="s">
        <v>28</v>
      </c>
      <c r="D56" s="7">
        <f>water!D41</f>
        <v>0</v>
      </c>
      <c r="E56" s="7">
        <f>glucose!D41</f>
        <v>0</v>
      </c>
      <c r="F56" s="7">
        <f>sucrose!D41</f>
        <v>0</v>
      </c>
      <c r="G56" s="7">
        <f>'milk choc'!D41</f>
        <v>0</v>
      </c>
      <c r="H56" s="13">
        <f>'milk chocolate arabinose'!D41</f>
        <v>0</v>
      </c>
      <c r="I56" s="7">
        <f>'gastic milk choc'!D41</f>
        <v>0</v>
      </c>
      <c r="J56" s="7">
        <f>'gastic milk choc arab'!D41</f>
        <v>0</v>
      </c>
      <c r="K56" s="7">
        <f>emulsie!D41</f>
        <v>0</v>
      </c>
      <c r="L56" s="7">
        <f>arabinose!D41</f>
        <v>0</v>
      </c>
      <c r="M56" s="7">
        <v>0</v>
      </c>
      <c r="N56" s="7">
        <v>0</v>
      </c>
      <c r="O56" s="7">
        <v>0</v>
      </c>
      <c r="P56">
        <v>0</v>
      </c>
      <c r="Q56">
        <v>0</v>
      </c>
      <c r="R56" s="7">
        <v>0</v>
      </c>
      <c r="S56">
        <v>0</v>
      </c>
      <c r="T56">
        <v>0</v>
      </c>
      <c r="U56">
        <v>0</v>
      </c>
      <c r="V56">
        <v>0</v>
      </c>
      <c r="W56">
        <v>0</v>
      </c>
      <c r="X56" s="7">
        <v>0</v>
      </c>
      <c r="Y56" s="7">
        <v>0</v>
      </c>
      <c r="Z56" s="7">
        <v>0</v>
      </c>
      <c r="AA56" s="7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</row>
    <row r="57" spans="1:32" x14ac:dyDescent="0.3">
      <c r="A57" s="7">
        <v>41</v>
      </c>
      <c r="B57" s="7" t="s">
        <v>53</v>
      </c>
      <c r="C57" s="7" t="s">
        <v>28</v>
      </c>
      <c r="D57" s="7">
        <f>water!D42</f>
        <v>0</v>
      </c>
      <c r="E57" s="7">
        <f>glucose!D42</f>
        <v>0</v>
      </c>
      <c r="F57" s="7">
        <f>sucrose!D42</f>
        <v>0</v>
      </c>
      <c r="G57" s="7">
        <f>'milk choc'!D42</f>
        <v>0</v>
      </c>
      <c r="H57" s="13">
        <f>'milk chocolate arabinose'!D42</f>
        <v>0</v>
      </c>
      <c r="I57" s="7">
        <f>'gastic milk choc'!D42</f>
        <v>0</v>
      </c>
      <c r="J57" s="7">
        <f>'gastic milk choc arab'!D42</f>
        <v>0</v>
      </c>
      <c r="K57" s="7">
        <f>emulsie!D42</f>
        <v>0</v>
      </c>
      <c r="L57" s="7">
        <f>arabinose!D42</f>
        <v>0</v>
      </c>
      <c r="M57" s="7">
        <v>0</v>
      </c>
      <c r="N57" s="7">
        <v>0</v>
      </c>
      <c r="O57" s="7">
        <v>0</v>
      </c>
      <c r="P57">
        <v>0</v>
      </c>
      <c r="Q57">
        <v>0</v>
      </c>
      <c r="R57" s="7">
        <v>0</v>
      </c>
      <c r="S57">
        <v>0</v>
      </c>
      <c r="T57">
        <v>0</v>
      </c>
      <c r="U57">
        <v>0</v>
      </c>
      <c r="V57">
        <v>0</v>
      </c>
      <c r="W57">
        <v>0</v>
      </c>
      <c r="X57" s="7">
        <v>0</v>
      </c>
      <c r="Y57" s="7">
        <v>0</v>
      </c>
      <c r="Z57" s="7">
        <v>0</v>
      </c>
      <c r="AA57" s="7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</row>
    <row r="58" spans="1:32" x14ac:dyDescent="0.3">
      <c r="A58" s="7">
        <v>50</v>
      </c>
      <c r="B58" s="7" t="s">
        <v>54</v>
      </c>
      <c r="C58" s="7" t="s">
        <v>28</v>
      </c>
      <c r="D58" s="7">
        <f>water!D43</f>
        <v>0</v>
      </c>
      <c r="E58" s="7">
        <f>glucose!D43</f>
        <v>0</v>
      </c>
      <c r="F58" s="7">
        <f>sucrose!D43</f>
        <v>0</v>
      </c>
      <c r="G58" s="7">
        <f>'milk choc'!D43</f>
        <v>0</v>
      </c>
      <c r="H58" s="13">
        <f>'milk chocolate arabinose'!D43</f>
        <v>0</v>
      </c>
      <c r="I58" s="7">
        <f>'gastic milk choc'!D43</f>
        <v>0</v>
      </c>
      <c r="J58" s="7">
        <f>'gastic milk choc arab'!D43</f>
        <v>0</v>
      </c>
      <c r="K58" s="7">
        <f>emulsie!D43</f>
        <v>0</v>
      </c>
      <c r="L58" s="7">
        <f>arabinose!D43</f>
        <v>0</v>
      </c>
      <c r="M58" s="7">
        <v>0</v>
      </c>
      <c r="N58" s="7">
        <v>0</v>
      </c>
      <c r="O58" s="7">
        <v>0</v>
      </c>
      <c r="P58">
        <v>0</v>
      </c>
      <c r="Q58">
        <v>0</v>
      </c>
      <c r="R58" s="7">
        <v>0</v>
      </c>
      <c r="S58">
        <v>0</v>
      </c>
      <c r="T58">
        <v>0</v>
      </c>
      <c r="U58">
        <v>0</v>
      </c>
      <c r="V58">
        <v>0</v>
      </c>
      <c r="W58">
        <v>0</v>
      </c>
      <c r="X58" s="7">
        <v>0</v>
      </c>
      <c r="Y58" s="7">
        <v>0</v>
      </c>
      <c r="Z58" s="7">
        <v>0</v>
      </c>
      <c r="AA58" s="7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</row>
    <row r="59" spans="1:32" x14ac:dyDescent="0.3">
      <c r="A59" s="7">
        <v>51</v>
      </c>
      <c r="B59" s="7" t="s">
        <v>55</v>
      </c>
      <c r="C59" s="7" t="s">
        <v>28</v>
      </c>
      <c r="D59" s="7">
        <f>water!D44</f>
        <v>0</v>
      </c>
      <c r="E59" s="7">
        <f>glucose!D44</f>
        <v>0</v>
      </c>
      <c r="F59" s="7">
        <f>sucrose!D44</f>
        <v>0</v>
      </c>
      <c r="G59" s="7">
        <f>'milk choc'!D44</f>
        <v>0</v>
      </c>
      <c r="H59" s="13">
        <f>'milk chocolate arabinose'!D44</f>
        <v>0</v>
      </c>
      <c r="I59" s="7">
        <f>'gastic milk choc'!D44</f>
        <v>0</v>
      </c>
      <c r="J59" s="7">
        <f>'gastic milk choc arab'!D44</f>
        <v>0</v>
      </c>
      <c r="K59" s="7">
        <f>emulsie!D44</f>
        <v>0</v>
      </c>
      <c r="L59" s="7">
        <f>arabinose!D44</f>
        <v>0</v>
      </c>
      <c r="M59" s="7">
        <v>0</v>
      </c>
      <c r="N59" s="7">
        <v>0</v>
      </c>
      <c r="O59" s="7">
        <v>0</v>
      </c>
      <c r="P59">
        <v>0</v>
      </c>
      <c r="Q59">
        <v>0</v>
      </c>
      <c r="R59" s="7">
        <v>0</v>
      </c>
      <c r="S59">
        <v>0</v>
      </c>
      <c r="T59">
        <v>0</v>
      </c>
      <c r="U59">
        <v>0</v>
      </c>
      <c r="V59">
        <v>0</v>
      </c>
      <c r="W59">
        <v>0</v>
      </c>
      <c r="X59" s="7">
        <v>0</v>
      </c>
      <c r="Y59" s="7">
        <v>0</v>
      </c>
      <c r="Z59" s="7">
        <v>0</v>
      </c>
      <c r="AA59" s="7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</row>
    <row r="60" spans="1:32" x14ac:dyDescent="0.3">
      <c r="A60" s="7">
        <v>52</v>
      </c>
      <c r="B60" s="7" t="s">
        <v>56</v>
      </c>
      <c r="C60" s="7" t="s">
        <v>28</v>
      </c>
      <c r="D60" s="7">
        <f>water!D45</f>
        <v>0</v>
      </c>
      <c r="E60" s="7">
        <f>glucose!D45</f>
        <v>0</v>
      </c>
      <c r="F60" s="7">
        <f>sucrose!D45</f>
        <v>0</v>
      </c>
      <c r="G60" s="7">
        <f>'milk choc'!D45</f>
        <v>0</v>
      </c>
      <c r="H60" s="13">
        <f>'milk chocolate arabinose'!D45</f>
        <v>0</v>
      </c>
      <c r="I60" s="7">
        <f>'gastic milk choc'!D45</f>
        <v>0</v>
      </c>
      <c r="J60" s="7">
        <f>'gastic milk choc arab'!D45</f>
        <v>0</v>
      </c>
      <c r="K60" s="7">
        <f>emulsie!D45</f>
        <v>0</v>
      </c>
      <c r="L60" s="7">
        <f>arabinose!D45</f>
        <v>0</v>
      </c>
      <c r="M60" s="7">
        <v>0</v>
      </c>
      <c r="N60" s="7">
        <v>0</v>
      </c>
      <c r="O60" s="7">
        <v>0</v>
      </c>
      <c r="P60">
        <v>0</v>
      </c>
      <c r="Q60">
        <v>0</v>
      </c>
      <c r="R60" s="7">
        <v>0</v>
      </c>
      <c r="S60">
        <v>0</v>
      </c>
      <c r="T60">
        <v>0</v>
      </c>
      <c r="U60">
        <v>0</v>
      </c>
      <c r="V60">
        <v>0</v>
      </c>
      <c r="W60">
        <v>0</v>
      </c>
      <c r="X60" s="7">
        <v>0</v>
      </c>
      <c r="Y60" s="7">
        <v>0</v>
      </c>
      <c r="Z60" s="7">
        <v>0</v>
      </c>
      <c r="AA60" s="7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</row>
    <row r="61" spans="1:32" x14ac:dyDescent="0.3">
      <c r="A61" s="7">
        <v>53</v>
      </c>
      <c r="B61" s="7" t="s">
        <v>57</v>
      </c>
      <c r="C61" s="7" t="s">
        <v>28</v>
      </c>
      <c r="D61" s="7">
        <f>water!D46</f>
        <v>0</v>
      </c>
      <c r="E61" s="7">
        <f>glucose!D46</f>
        <v>0</v>
      </c>
      <c r="F61" s="7">
        <f>sucrose!D46</f>
        <v>0</v>
      </c>
      <c r="G61" s="7">
        <f>'milk choc'!D46</f>
        <v>0</v>
      </c>
      <c r="H61" s="13">
        <f>'milk chocolate arabinose'!D46</f>
        <v>0</v>
      </c>
      <c r="I61" s="7">
        <f>'gastic milk choc'!D46</f>
        <v>0</v>
      </c>
      <c r="J61" s="7">
        <f>'gastic milk choc arab'!D46</f>
        <v>0</v>
      </c>
      <c r="K61" s="7">
        <f>emulsie!D46</f>
        <v>0</v>
      </c>
      <c r="L61" s="7">
        <f>arabinose!D46</f>
        <v>0</v>
      </c>
      <c r="M61" s="7">
        <v>0</v>
      </c>
      <c r="N61" s="7">
        <v>0</v>
      </c>
      <c r="O61" s="7">
        <v>0</v>
      </c>
      <c r="P61">
        <v>0</v>
      </c>
      <c r="Q61">
        <v>0</v>
      </c>
      <c r="R61" s="7">
        <v>0</v>
      </c>
      <c r="S61">
        <v>0</v>
      </c>
      <c r="T61">
        <v>0</v>
      </c>
      <c r="U61">
        <v>0</v>
      </c>
      <c r="V61">
        <v>0</v>
      </c>
      <c r="W61">
        <v>0</v>
      </c>
      <c r="X61" s="7">
        <v>0</v>
      </c>
      <c r="Y61" s="7">
        <v>0</v>
      </c>
      <c r="Z61" s="7">
        <v>0</v>
      </c>
      <c r="AA61" s="7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</row>
    <row r="62" spans="1:32" x14ac:dyDescent="0.3">
      <c r="A62" s="7">
        <v>54</v>
      </c>
      <c r="B62" s="7" t="s">
        <v>58</v>
      </c>
      <c r="C62" s="7" t="s">
        <v>28</v>
      </c>
      <c r="D62" s="7">
        <f>water!D47</f>
        <v>0</v>
      </c>
      <c r="E62" s="7">
        <f>glucose!D47</f>
        <v>0</v>
      </c>
      <c r="F62" s="7">
        <f>sucrose!D47</f>
        <v>0</v>
      </c>
      <c r="G62" s="7">
        <f>'milk choc'!D47</f>
        <v>0</v>
      </c>
      <c r="H62" s="13">
        <f>'milk chocolate arabinose'!D47</f>
        <v>0</v>
      </c>
      <c r="I62" s="7">
        <f>'gastic milk choc'!D47</f>
        <v>0</v>
      </c>
      <c r="J62" s="7">
        <f>'gastic milk choc arab'!D47</f>
        <v>0</v>
      </c>
      <c r="K62" s="7">
        <f>emulsie!D47</f>
        <v>0</v>
      </c>
      <c r="L62" s="7">
        <f>arabinose!D47</f>
        <v>0</v>
      </c>
      <c r="M62" s="7">
        <v>0</v>
      </c>
      <c r="N62" s="7">
        <v>0</v>
      </c>
      <c r="O62" s="7">
        <v>0</v>
      </c>
      <c r="P62">
        <v>0</v>
      </c>
      <c r="Q62">
        <v>0</v>
      </c>
      <c r="R62" s="7">
        <v>0</v>
      </c>
      <c r="S62">
        <v>0</v>
      </c>
      <c r="T62">
        <v>0</v>
      </c>
      <c r="U62">
        <v>0</v>
      </c>
      <c r="V62">
        <v>0</v>
      </c>
      <c r="W62">
        <v>0</v>
      </c>
      <c r="X62" s="7">
        <v>0</v>
      </c>
      <c r="Y62" s="7">
        <v>0</v>
      </c>
      <c r="Z62" s="7">
        <v>0</v>
      </c>
      <c r="AA62" s="7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</row>
    <row r="63" spans="1:32" x14ac:dyDescent="0.3">
      <c r="A63" s="7">
        <v>55</v>
      </c>
      <c r="B63" s="7" t="s">
        <v>62</v>
      </c>
      <c r="C63" s="7" t="s">
        <v>28</v>
      </c>
      <c r="D63" s="7">
        <f>water!D48</f>
        <v>0</v>
      </c>
      <c r="E63" s="7">
        <f>glucose!D48</f>
        <v>0</v>
      </c>
      <c r="F63" s="7">
        <f>sucrose!D48</f>
        <v>0</v>
      </c>
      <c r="G63" s="7">
        <f>'milk choc'!D48</f>
        <v>0</v>
      </c>
      <c r="H63" s="13">
        <f>'milk chocolate arabinose'!D48</f>
        <v>0</v>
      </c>
      <c r="I63" s="7">
        <f>'gastic milk choc'!D48</f>
        <v>0</v>
      </c>
      <c r="J63" s="7">
        <f>'gastic milk choc arab'!D48</f>
        <v>0</v>
      </c>
      <c r="K63" s="7">
        <f>emulsie!D48</f>
        <v>0</v>
      </c>
      <c r="L63" s="7">
        <f>arabinose!D48</f>
        <v>0</v>
      </c>
      <c r="M63" s="7">
        <v>0</v>
      </c>
      <c r="N63" s="7">
        <v>0</v>
      </c>
      <c r="O63" s="7">
        <v>0</v>
      </c>
      <c r="P63">
        <v>0</v>
      </c>
      <c r="Q63">
        <v>0</v>
      </c>
      <c r="R63" s="7">
        <v>0</v>
      </c>
      <c r="S63">
        <v>0</v>
      </c>
      <c r="T63">
        <v>0</v>
      </c>
      <c r="U63">
        <v>0</v>
      </c>
      <c r="V63">
        <v>0</v>
      </c>
      <c r="W63">
        <v>0</v>
      </c>
      <c r="X63" s="7">
        <v>0</v>
      </c>
      <c r="Y63" s="7">
        <v>0</v>
      </c>
      <c r="Z63" s="7">
        <v>0</v>
      </c>
      <c r="AA63" s="7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</row>
    <row r="64" spans="1:32" x14ac:dyDescent="0.3">
      <c r="A64" s="7">
        <v>56</v>
      </c>
      <c r="B64" s="7" t="s">
        <v>63</v>
      </c>
      <c r="C64" s="7" t="s">
        <v>28</v>
      </c>
      <c r="D64" s="7">
        <f>water!D49</f>
        <v>0</v>
      </c>
      <c r="E64" s="7">
        <f>glucose!D49</f>
        <v>0</v>
      </c>
      <c r="F64" s="7">
        <f>sucrose!D49</f>
        <v>0</v>
      </c>
      <c r="G64" s="7">
        <f>'milk choc'!D49</f>
        <v>0</v>
      </c>
      <c r="H64" s="13">
        <f>'milk chocolate arabinose'!D49</f>
        <v>0</v>
      </c>
      <c r="I64" s="7">
        <f>'gastic milk choc'!D49</f>
        <v>0</v>
      </c>
      <c r="J64" s="7">
        <f>'gastic milk choc arab'!D49</f>
        <v>0</v>
      </c>
      <c r="K64" s="7">
        <f>emulsie!D49</f>
        <v>0</v>
      </c>
      <c r="L64" s="7">
        <f>arabinose!D49</f>
        <v>0</v>
      </c>
      <c r="M64" s="7">
        <v>0</v>
      </c>
      <c r="N64" s="7">
        <v>0</v>
      </c>
      <c r="O64" s="7">
        <v>0</v>
      </c>
      <c r="P64">
        <v>0</v>
      </c>
      <c r="Q64">
        <v>0</v>
      </c>
      <c r="R64" s="7">
        <v>0</v>
      </c>
      <c r="S64">
        <v>0</v>
      </c>
      <c r="T64">
        <v>0</v>
      </c>
      <c r="U64">
        <v>0</v>
      </c>
      <c r="V64">
        <v>0</v>
      </c>
      <c r="W64">
        <v>0</v>
      </c>
      <c r="X64" s="7">
        <v>0</v>
      </c>
      <c r="Y64" s="7">
        <v>0</v>
      </c>
      <c r="Z64" s="7">
        <v>0</v>
      </c>
      <c r="AA64" s="7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</row>
    <row r="65" spans="1:32" x14ac:dyDescent="0.3">
      <c r="A65" s="7">
        <v>57</v>
      </c>
      <c r="B65" s="7" t="s">
        <v>59</v>
      </c>
      <c r="C65" s="7" t="s">
        <v>28</v>
      </c>
      <c r="D65" s="7">
        <f>water!D50</f>
        <v>0</v>
      </c>
      <c r="E65" s="7">
        <f>glucose!D50</f>
        <v>0</v>
      </c>
      <c r="F65" s="7">
        <f>sucrose!D50</f>
        <v>0</v>
      </c>
      <c r="G65" s="7">
        <f>'milk choc'!D50</f>
        <v>0</v>
      </c>
      <c r="H65" s="13">
        <f>'milk chocolate arabinose'!D50</f>
        <v>0</v>
      </c>
      <c r="I65" s="7">
        <f>'gastic milk choc'!D50</f>
        <v>0</v>
      </c>
      <c r="J65" s="7">
        <f>'gastic milk choc arab'!D50</f>
        <v>0</v>
      </c>
      <c r="K65" s="7">
        <f>emulsie!D50</f>
        <v>0</v>
      </c>
      <c r="L65" s="7">
        <f>arabinose!D50</f>
        <v>0</v>
      </c>
      <c r="M65" s="7">
        <v>0</v>
      </c>
      <c r="N65" s="7">
        <v>0</v>
      </c>
      <c r="O65" s="7">
        <v>0</v>
      </c>
      <c r="P65">
        <v>0</v>
      </c>
      <c r="Q65">
        <v>0</v>
      </c>
      <c r="R65" s="7">
        <v>0</v>
      </c>
      <c r="S65">
        <v>0</v>
      </c>
      <c r="T65">
        <v>0</v>
      </c>
      <c r="U65">
        <v>0</v>
      </c>
      <c r="V65">
        <v>0</v>
      </c>
      <c r="W65">
        <v>0</v>
      </c>
      <c r="X65" s="7">
        <v>0</v>
      </c>
      <c r="Y65" s="7">
        <v>0</v>
      </c>
      <c r="Z65" s="7">
        <v>0</v>
      </c>
      <c r="AA65" s="7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</row>
    <row r="66" spans="1:32" x14ac:dyDescent="0.3">
      <c r="A66" s="7">
        <v>58</v>
      </c>
      <c r="B66" s="7" t="s">
        <v>60</v>
      </c>
      <c r="C66" s="7" t="s">
        <v>28</v>
      </c>
      <c r="D66" s="7">
        <f>water!D51</f>
        <v>0</v>
      </c>
      <c r="E66" s="7">
        <f>glucose!D51</f>
        <v>0</v>
      </c>
      <c r="F66" s="7">
        <f>sucrose!D51</f>
        <v>0</v>
      </c>
      <c r="G66" s="7">
        <f>'milk choc'!D51</f>
        <v>0</v>
      </c>
      <c r="H66" s="13">
        <f>'milk chocolate arabinose'!D51</f>
        <v>0</v>
      </c>
      <c r="I66" s="7">
        <f>'gastic milk choc'!D51</f>
        <v>0</v>
      </c>
      <c r="J66" s="7">
        <f>'gastic milk choc arab'!D51</f>
        <v>0</v>
      </c>
      <c r="K66" s="7">
        <f>emulsie!D51</f>
        <v>0</v>
      </c>
      <c r="L66" s="7">
        <f>arabinose!D51</f>
        <v>0</v>
      </c>
      <c r="M66" s="7">
        <v>0</v>
      </c>
      <c r="N66" s="7">
        <v>0</v>
      </c>
      <c r="O66" s="7">
        <v>0</v>
      </c>
      <c r="P66">
        <v>0</v>
      </c>
      <c r="Q66">
        <v>0</v>
      </c>
      <c r="R66" s="7">
        <v>0</v>
      </c>
      <c r="S66">
        <v>0</v>
      </c>
      <c r="T66">
        <v>0</v>
      </c>
      <c r="U66">
        <v>0</v>
      </c>
      <c r="V66">
        <v>0</v>
      </c>
      <c r="W66">
        <v>0</v>
      </c>
      <c r="X66" s="7">
        <v>0</v>
      </c>
      <c r="Y66" s="7">
        <v>0</v>
      </c>
      <c r="Z66" s="7">
        <v>0</v>
      </c>
      <c r="AA66" s="7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</row>
    <row r="67" spans="1:32" x14ac:dyDescent="0.3">
      <c r="A67" s="7">
        <v>60</v>
      </c>
      <c r="B67" s="7" t="s">
        <v>61</v>
      </c>
      <c r="C67" s="7" t="s">
        <v>28</v>
      </c>
      <c r="D67" s="7">
        <f>water!D52</f>
        <v>0</v>
      </c>
      <c r="E67" s="7">
        <f>glucose!D52</f>
        <v>0</v>
      </c>
      <c r="F67" s="7">
        <f>sucrose!D52</f>
        <v>0</v>
      </c>
      <c r="G67" s="7">
        <f>'milk choc'!D52</f>
        <v>0</v>
      </c>
      <c r="H67" s="13">
        <f>'milk chocolate arabinose'!D52</f>
        <v>0</v>
      </c>
      <c r="I67" s="7">
        <f>'gastic milk choc'!D52</f>
        <v>0</v>
      </c>
      <c r="J67" s="7">
        <f>'gastic milk choc arab'!D52</f>
        <v>0</v>
      </c>
      <c r="K67" s="7">
        <f>emulsie!D52</f>
        <v>0</v>
      </c>
      <c r="L67" s="7">
        <f>arabinose!D52</f>
        <v>0</v>
      </c>
      <c r="M67" s="7">
        <v>0</v>
      </c>
      <c r="N67" s="7">
        <v>0</v>
      </c>
      <c r="O67" s="7">
        <v>0</v>
      </c>
      <c r="P67">
        <v>0</v>
      </c>
      <c r="Q67">
        <v>0</v>
      </c>
      <c r="R67" s="7">
        <v>0</v>
      </c>
      <c r="S67">
        <v>0</v>
      </c>
      <c r="T67">
        <v>0</v>
      </c>
      <c r="U67">
        <v>0</v>
      </c>
      <c r="V67">
        <v>0</v>
      </c>
      <c r="W67">
        <v>0</v>
      </c>
      <c r="X67" s="7">
        <v>0</v>
      </c>
      <c r="Y67" s="7">
        <v>0</v>
      </c>
      <c r="Z67" s="7">
        <v>0</v>
      </c>
      <c r="AA67" s="7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</row>
    <row r="68" spans="1:32" x14ac:dyDescent="0.3">
      <c r="A68" s="7">
        <v>61</v>
      </c>
      <c r="B68" s="7" t="s">
        <v>40</v>
      </c>
      <c r="C68" s="7" t="s">
        <v>28</v>
      </c>
      <c r="D68" s="7">
        <f>water!D53</f>
        <v>0</v>
      </c>
      <c r="E68" s="7">
        <f>glucose!D53</f>
        <v>0</v>
      </c>
      <c r="F68" s="7">
        <f>sucrose!D53</f>
        <v>0</v>
      </c>
      <c r="G68" s="7">
        <f>'milk choc'!D53</f>
        <v>9</v>
      </c>
      <c r="H68" s="13">
        <f>'milk chocolate arabinose'!D53</f>
        <v>9</v>
      </c>
      <c r="I68" s="7">
        <f>'gastic milk choc'!D53</f>
        <v>2.31</v>
      </c>
      <c r="J68" s="7">
        <f>'gastic milk choc arab'!D53</f>
        <v>2.31</v>
      </c>
      <c r="K68" s="7">
        <f>emulsie!D53</f>
        <v>0</v>
      </c>
      <c r="L68" s="7">
        <f>arabinose!D53</f>
        <v>0</v>
      </c>
      <c r="M68" s="7">
        <v>0</v>
      </c>
      <c r="N68" s="7">
        <v>0</v>
      </c>
      <c r="O68" s="7">
        <v>0</v>
      </c>
      <c r="P68">
        <v>0</v>
      </c>
      <c r="Q68">
        <v>0</v>
      </c>
      <c r="R68" s="7">
        <v>0</v>
      </c>
      <c r="S68">
        <v>0</v>
      </c>
      <c r="T68">
        <v>0</v>
      </c>
      <c r="U68">
        <v>0</v>
      </c>
      <c r="V68">
        <v>0</v>
      </c>
      <c r="W68">
        <v>0</v>
      </c>
      <c r="X68" s="7">
        <v>0</v>
      </c>
      <c r="Y68" s="7">
        <v>0</v>
      </c>
      <c r="Z68" s="7">
        <v>0</v>
      </c>
      <c r="AA68" s="7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</row>
    <row r="69" spans="1:32" x14ac:dyDescent="0.3">
      <c r="A69" s="7">
        <v>62</v>
      </c>
      <c r="B69" s="7" t="s">
        <v>46</v>
      </c>
      <c r="C69" s="7" t="s">
        <v>28</v>
      </c>
      <c r="D69" s="7">
        <f>water!D54</f>
        <v>0</v>
      </c>
      <c r="E69" s="7">
        <f>glucose!D54</f>
        <v>0</v>
      </c>
      <c r="F69" s="7">
        <f>sucrose!D54</f>
        <v>0</v>
      </c>
      <c r="G69" s="7">
        <f>'milk choc'!D54</f>
        <v>0</v>
      </c>
      <c r="H69" s="13">
        <f>'milk chocolate arabinose'!D54</f>
        <v>0</v>
      </c>
      <c r="I69" s="7">
        <f>'gastic milk choc'!D54</f>
        <v>0</v>
      </c>
      <c r="J69" s="7">
        <f>'gastic milk choc arab'!D54</f>
        <v>0</v>
      </c>
      <c r="K69" s="7">
        <f>emulsie!D54</f>
        <v>0</v>
      </c>
      <c r="L69" s="7">
        <f>arabinose!D54</f>
        <v>0</v>
      </c>
      <c r="M69" s="7">
        <v>0</v>
      </c>
      <c r="N69" s="7">
        <v>0</v>
      </c>
      <c r="O69" s="7">
        <v>0</v>
      </c>
      <c r="P69">
        <v>0</v>
      </c>
      <c r="Q69">
        <v>0</v>
      </c>
      <c r="R69" s="7">
        <v>0</v>
      </c>
      <c r="S69">
        <v>0</v>
      </c>
      <c r="T69">
        <v>0</v>
      </c>
      <c r="U69">
        <v>0</v>
      </c>
      <c r="V69">
        <v>0</v>
      </c>
      <c r="W69">
        <v>0</v>
      </c>
      <c r="X69" s="7">
        <v>0</v>
      </c>
      <c r="Y69" s="7">
        <v>0</v>
      </c>
      <c r="Z69" s="7">
        <v>0</v>
      </c>
      <c r="AA69" s="7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</row>
    <row r="70" spans="1:32" x14ac:dyDescent="0.3">
      <c r="A70" s="7">
        <v>63</v>
      </c>
      <c r="B70" s="7" t="s">
        <v>47</v>
      </c>
      <c r="C70" s="7" t="s">
        <v>28</v>
      </c>
      <c r="D70" s="7">
        <f>water!D55</f>
        <v>0</v>
      </c>
      <c r="E70" s="7">
        <f>glucose!D55</f>
        <v>0</v>
      </c>
      <c r="F70" s="7">
        <f>sucrose!D55</f>
        <v>0</v>
      </c>
      <c r="G70" s="7">
        <f>'milk choc'!D55</f>
        <v>0</v>
      </c>
      <c r="H70" s="13">
        <f>'milk chocolate arabinose'!D55</f>
        <v>0</v>
      </c>
      <c r="I70" s="7">
        <f>'gastic milk choc'!D55</f>
        <v>0</v>
      </c>
      <c r="J70" s="7">
        <f>'gastic milk choc arab'!D55</f>
        <v>0</v>
      </c>
      <c r="K70" s="7">
        <f>emulsie!D55</f>
        <v>0</v>
      </c>
      <c r="L70" s="7">
        <f>arabinose!D55</f>
        <v>0</v>
      </c>
      <c r="M70" s="7">
        <v>0</v>
      </c>
      <c r="N70" s="7">
        <v>0</v>
      </c>
      <c r="O70" s="7">
        <v>0</v>
      </c>
      <c r="P70">
        <v>0</v>
      </c>
      <c r="Q70">
        <v>0</v>
      </c>
      <c r="R70" s="7">
        <v>0</v>
      </c>
      <c r="S70">
        <v>0</v>
      </c>
      <c r="T70">
        <v>0</v>
      </c>
      <c r="U70">
        <v>0</v>
      </c>
      <c r="V70">
        <v>0</v>
      </c>
      <c r="W70">
        <v>0</v>
      </c>
      <c r="X70" s="7">
        <v>0</v>
      </c>
      <c r="Y70" s="7">
        <v>0</v>
      </c>
      <c r="Z70" s="7">
        <v>0</v>
      </c>
      <c r="AA70" s="7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</row>
    <row r="71" spans="1:32" x14ac:dyDescent="0.3">
      <c r="A71" s="7">
        <v>64</v>
      </c>
      <c r="B71" s="7" t="s">
        <v>41</v>
      </c>
      <c r="C71" s="7" t="s">
        <v>28</v>
      </c>
      <c r="D71" s="7">
        <f>water!D56</f>
        <v>0</v>
      </c>
      <c r="E71" s="7">
        <f>glucose!D56</f>
        <v>0</v>
      </c>
      <c r="F71" s="7">
        <f>sucrose!D56</f>
        <v>0</v>
      </c>
      <c r="G71" s="7">
        <f>'milk choc'!D56</f>
        <v>0</v>
      </c>
      <c r="H71" s="13">
        <f>'milk chocolate arabinose'!D56</f>
        <v>0</v>
      </c>
      <c r="I71" s="7">
        <f>'gastic milk choc'!D56</f>
        <v>0</v>
      </c>
      <c r="J71" s="7">
        <f>'gastic milk choc arab'!D56</f>
        <v>0</v>
      </c>
      <c r="K71" s="7">
        <f>emulsie!D56</f>
        <v>0</v>
      </c>
      <c r="L71" s="7">
        <f>arabinose!D56</f>
        <v>0</v>
      </c>
      <c r="M71" s="7">
        <v>0</v>
      </c>
      <c r="N71" s="7">
        <v>0</v>
      </c>
      <c r="O71" s="7">
        <v>0</v>
      </c>
      <c r="P71">
        <v>0</v>
      </c>
      <c r="Q71">
        <v>0</v>
      </c>
      <c r="R71" s="7">
        <v>0</v>
      </c>
      <c r="S71">
        <v>0</v>
      </c>
      <c r="T71">
        <v>0</v>
      </c>
      <c r="U71">
        <v>0</v>
      </c>
      <c r="V71">
        <v>0</v>
      </c>
      <c r="W71">
        <v>0</v>
      </c>
      <c r="X71" s="7">
        <v>0</v>
      </c>
      <c r="Y71" s="7">
        <v>0</v>
      </c>
      <c r="Z71" s="7">
        <v>0</v>
      </c>
      <c r="AA71" s="7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</row>
    <row r="72" spans="1:32" x14ac:dyDescent="0.3">
      <c r="A72" s="7">
        <v>65</v>
      </c>
      <c r="B72" s="7" t="s">
        <v>48</v>
      </c>
      <c r="C72" s="7" t="s">
        <v>28</v>
      </c>
      <c r="D72" s="7">
        <f>water!D57</f>
        <v>0</v>
      </c>
      <c r="E72" s="7">
        <f>glucose!D57</f>
        <v>0</v>
      </c>
      <c r="F72" s="7">
        <f>sucrose!D57</f>
        <v>0</v>
      </c>
      <c r="G72" s="7">
        <f>'milk choc'!D57</f>
        <v>0</v>
      </c>
      <c r="H72" s="13">
        <f>'milk chocolate arabinose'!D57</f>
        <v>0</v>
      </c>
      <c r="I72" s="7">
        <f>'gastic milk choc'!D57</f>
        <v>0</v>
      </c>
      <c r="J72" s="7">
        <f>'gastic milk choc arab'!D57</f>
        <v>0</v>
      </c>
      <c r="K72" s="7">
        <f>emulsie!D57</f>
        <v>0</v>
      </c>
      <c r="L72" s="7">
        <f>arabinose!D57</f>
        <v>0</v>
      </c>
      <c r="M72" s="7">
        <v>0</v>
      </c>
      <c r="N72" s="7">
        <v>0</v>
      </c>
      <c r="O72" s="7">
        <v>0</v>
      </c>
      <c r="P72">
        <v>0</v>
      </c>
      <c r="Q72">
        <v>0</v>
      </c>
      <c r="R72" s="7">
        <v>0</v>
      </c>
      <c r="S72">
        <v>0</v>
      </c>
      <c r="T72">
        <v>0</v>
      </c>
      <c r="U72">
        <v>0</v>
      </c>
      <c r="V72">
        <v>0</v>
      </c>
      <c r="W72">
        <v>0</v>
      </c>
      <c r="X72" s="7">
        <v>0</v>
      </c>
      <c r="Y72" s="7">
        <v>0</v>
      </c>
      <c r="Z72" s="7">
        <v>0</v>
      </c>
      <c r="AA72" s="7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</row>
    <row r="73" spans="1:32" x14ac:dyDescent="0.3">
      <c r="A73" s="7">
        <v>66</v>
      </c>
      <c r="B73" s="7" t="s">
        <v>5</v>
      </c>
      <c r="C73" s="7" t="s">
        <v>28</v>
      </c>
      <c r="D73" s="7">
        <f>water!D58</f>
        <v>0</v>
      </c>
      <c r="E73" s="7">
        <f>glucose!D58</f>
        <v>0</v>
      </c>
      <c r="F73" s="7">
        <f>sucrose!D58</f>
        <v>0</v>
      </c>
      <c r="G73" s="7">
        <f>'milk choc'!D58</f>
        <v>0</v>
      </c>
      <c r="H73" s="13">
        <f>'milk chocolate arabinose'!D58</f>
        <v>0</v>
      </c>
      <c r="I73" s="7">
        <f>'gastic milk choc'!D58</f>
        <v>0</v>
      </c>
      <c r="J73" s="7">
        <f>'gastic milk choc arab'!D58</f>
        <v>0</v>
      </c>
      <c r="K73" s="7">
        <f>emulsie!D58</f>
        <v>0</v>
      </c>
      <c r="L73" s="7">
        <f>arabinose!D58</f>
        <v>0</v>
      </c>
      <c r="M73" s="7">
        <v>0</v>
      </c>
      <c r="N73" s="7">
        <v>0</v>
      </c>
      <c r="O73" s="7">
        <v>0</v>
      </c>
      <c r="P73">
        <v>0</v>
      </c>
      <c r="Q73">
        <v>0</v>
      </c>
      <c r="R73" s="7">
        <v>0</v>
      </c>
      <c r="S73">
        <v>0</v>
      </c>
      <c r="T73">
        <v>0</v>
      </c>
      <c r="U73">
        <v>0</v>
      </c>
      <c r="V73">
        <v>0</v>
      </c>
      <c r="W73">
        <v>0</v>
      </c>
      <c r="X73" s="7">
        <v>0</v>
      </c>
      <c r="Y73" s="7">
        <v>0</v>
      </c>
      <c r="Z73" s="7">
        <v>0</v>
      </c>
      <c r="AA73" s="7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</row>
    <row r="74" spans="1:32" x14ac:dyDescent="0.3">
      <c r="A74" s="7">
        <v>67</v>
      </c>
      <c r="B74" s="7" t="s">
        <v>6</v>
      </c>
      <c r="C74" s="7" t="s">
        <v>28</v>
      </c>
      <c r="D74" s="7">
        <f>water!D59</f>
        <v>0</v>
      </c>
      <c r="E74" s="7">
        <f>glucose!D59</f>
        <v>0</v>
      </c>
      <c r="F74" s="7">
        <f>sucrose!D59</f>
        <v>0</v>
      </c>
      <c r="G74" s="7">
        <f>'milk choc'!D59</f>
        <v>10</v>
      </c>
      <c r="H74" s="13">
        <f>'milk chocolate arabinose'!D59</f>
        <v>10</v>
      </c>
      <c r="I74" s="7">
        <f>'gastic milk choc'!D59</f>
        <v>8.59</v>
      </c>
      <c r="J74" s="7">
        <f>'gastic milk choc arab'!D59</f>
        <v>8.59</v>
      </c>
      <c r="K74" s="7">
        <f>emulsie!D59</f>
        <v>0</v>
      </c>
      <c r="L74" s="7">
        <f>arabinose!D59</f>
        <v>0</v>
      </c>
      <c r="M74" s="7">
        <v>0</v>
      </c>
      <c r="N74" s="7">
        <v>0</v>
      </c>
      <c r="O74" s="7">
        <v>0</v>
      </c>
      <c r="P74">
        <v>0</v>
      </c>
      <c r="Q74">
        <v>0</v>
      </c>
      <c r="R74" s="7">
        <v>0</v>
      </c>
      <c r="S74">
        <v>0</v>
      </c>
      <c r="T74">
        <v>0</v>
      </c>
      <c r="U74">
        <v>0</v>
      </c>
      <c r="V74">
        <v>0</v>
      </c>
      <c r="W74">
        <v>0</v>
      </c>
      <c r="X74" s="7">
        <v>0</v>
      </c>
      <c r="Y74" s="7">
        <v>0</v>
      </c>
      <c r="Z74" s="7">
        <v>0</v>
      </c>
      <c r="AA74" s="7">
        <v>0</v>
      </c>
      <c r="AB74" s="8">
        <v>100</v>
      </c>
      <c r="AC74" s="8">
        <v>0</v>
      </c>
      <c r="AD74" s="8">
        <v>0</v>
      </c>
      <c r="AE74" s="8">
        <v>0</v>
      </c>
      <c r="AF74" s="8">
        <v>0</v>
      </c>
    </row>
    <row r="75" spans="1:32" x14ac:dyDescent="0.3">
      <c r="A75" s="7">
        <v>70</v>
      </c>
      <c r="B75" s="7" t="s">
        <v>7</v>
      </c>
      <c r="C75" s="7" t="s">
        <v>28</v>
      </c>
      <c r="D75" s="7">
        <f>water!D60</f>
        <v>0</v>
      </c>
      <c r="E75" s="7">
        <f>glucose!D60</f>
        <v>0</v>
      </c>
      <c r="F75" s="7">
        <f>sucrose!D60</f>
        <v>0</v>
      </c>
      <c r="G75" s="7">
        <f>'milk choc'!D60</f>
        <v>0</v>
      </c>
      <c r="H75" s="13">
        <f>'milk chocolate arabinose'!D60</f>
        <v>0</v>
      </c>
      <c r="I75" s="7">
        <f>'gastic milk choc'!D60</f>
        <v>0</v>
      </c>
      <c r="J75" s="7">
        <f>'gastic milk choc arab'!D60</f>
        <v>0</v>
      </c>
      <c r="K75" s="7">
        <f>emulsie!D60</f>
        <v>0</v>
      </c>
      <c r="L75" s="7">
        <f>arabinose!D60</f>
        <v>0</v>
      </c>
      <c r="M75" s="7">
        <v>0</v>
      </c>
      <c r="N75" s="7">
        <v>0</v>
      </c>
      <c r="O75" s="7">
        <v>0</v>
      </c>
      <c r="P75">
        <v>0</v>
      </c>
      <c r="Q75">
        <v>0</v>
      </c>
      <c r="R75" s="7">
        <v>0</v>
      </c>
      <c r="S75">
        <v>0</v>
      </c>
      <c r="T75">
        <v>0</v>
      </c>
      <c r="U75">
        <v>0</v>
      </c>
      <c r="V75">
        <v>0</v>
      </c>
      <c r="W75">
        <v>0</v>
      </c>
      <c r="X75" s="7">
        <v>0</v>
      </c>
      <c r="Y75" s="7">
        <v>0</v>
      </c>
      <c r="Z75" s="7">
        <v>0</v>
      </c>
      <c r="AA75" s="7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</row>
    <row r="76" spans="1:32" x14ac:dyDescent="0.3">
      <c r="A76" s="7">
        <v>71</v>
      </c>
      <c r="B76" s="7" t="s">
        <v>25</v>
      </c>
      <c r="C76" s="7" t="s">
        <v>28</v>
      </c>
      <c r="D76" s="7">
        <f>water!D61</f>
        <v>0</v>
      </c>
      <c r="E76" s="7">
        <f>glucose!D61</f>
        <v>0</v>
      </c>
      <c r="F76" s="7">
        <f>sucrose!D61</f>
        <v>0</v>
      </c>
      <c r="G76" s="7">
        <f>'milk choc'!D61</f>
        <v>0</v>
      </c>
      <c r="H76" s="13">
        <f>'milk chocolate arabinose'!D61</f>
        <v>0</v>
      </c>
      <c r="I76" s="7">
        <f>'gastic milk choc'!D61</f>
        <v>0</v>
      </c>
      <c r="J76" s="7">
        <f>'gastic milk choc arab'!D61</f>
        <v>0</v>
      </c>
      <c r="K76" s="7">
        <f>emulsie!D61</f>
        <v>0</v>
      </c>
      <c r="L76" s="7">
        <f>arabinose!D61</f>
        <v>0</v>
      </c>
      <c r="M76" s="7">
        <v>0</v>
      </c>
      <c r="N76" s="7">
        <v>0</v>
      </c>
      <c r="O76" s="7">
        <v>0</v>
      </c>
      <c r="P76">
        <v>0</v>
      </c>
      <c r="Q76">
        <v>0</v>
      </c>
      <c r="R76" s="7">
        <v>0</v>
      </c>
      <c r="S76">
        <v>0</v>
      </c>
      <c r="T76">
        <v>0</v>
      </c>
      <c r="U76">
        <v>0</v>
      </c>
      <c r="V76">
        <v>0</v>
      </c>
      <c r="W76">
        <v>0</v>
      </c>
      <c r="X76" s="7">
        <v>0</v>
      </c>
      <c r="Y76" s="7">
        <v>0</v>
      </c>
      <c r="Z76" s="7">
        <v>0</v>
      </c>
      <c r="AA76" s="7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</row>
    <row r="77" spans="1:32" x14ac:dyDescent="0.3">
      <c r="A77">
        <v>75</v>
      </c>
      <c r="B77" t="s">
        <v>112</v>
      </c>
      <c r="C77" t="s">
        <v>111</v>
      </c>
      <c r="D77" s="7">
        <v>0</v>
      </c>
      <c r="E77" s="7">
        <v>0</v>
      </c>
      <c r="F77" s="7">
        <v>0</v>
      </c>
      <c r="G77" s="7">
        <v>0</v>
      </c>
      <c r="H77" s="13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>
        <v>0</v>
      </c>
      <c r="Q77">
        <v>0</v>
      </c>
      <c r="R77" s="7">
        <v>0</v>
      </c>
      <c r="S77">
        <v>0</v>
      </c>
      <c r="T77">
        <v>0</v>
      </c>
      <c r="U77">
        <v>0</v>
      </c>
      <c r="V77">
        <v>0</v>
      </c>
      <c r="W77">
        <v>0</v>
      </c>
      <c r="X77" s="7">
        <v>0</v>
      </c>
      <c r="Y77" s="7">
        <v>0</v>
      </c>
      <c r="Z77" s="7">
        <v>0</v>
      </c>
      <c r="AA77" s="7">
        <v>0</v>
      </c>
      <c r="AB77" s="8">
        <v>0</v>
      </c>
      <c r="AC77" s="8">
        <v>100</v>
      </c>
      <c r="AD77" s="8">
        <v>0</v>
      </c>
      <c r="AE77" s="8">
        <v>0</v>
      </c>
      <c r="AF77" s="8">
        <v>0</v>
      </c>
    </row>
    <row r="78" spans="1:32" x14ac:dyDescent="0.3">
      <c r="A78">
        <v>76</v>
      </c>
      <c r="B78" t="s">
        <v>113</v>
      </c>
      <c r="C78" s="7" t="s">
        <v>111</v>
      </c>
      <c r="D78" s="7">
        <v>0</v>
      </c>
      <c r="E78" s="7">
        <v>0</v>
      </c>
      <c r="F78" s="7">
        <v>0</v>
      </c>
      <c r="G78" s="7">
        <v>0</v>
      </c>
      <c r="H78" s="13">
        <v>0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>
        <v>0</v>
      </c>
      <c r="Q78">
        <v>0</v>
      </c>
      <c r="R78" s="7">
        <v>0</v>
      </c>
      <c r="S78">
        <v>0</v>
      </c>
      <c r="T78">
        <v>0</v>
      </c>
      <c r="U78">
        <v>0</v>
      </c>
      <c r="V78">
        <v>0</v>
      </c>
      <c r="W78">
        <v>0</v>
      </c>
      <c r="X78" s="7">
        <v>0</v>
      </c>
      <c r="Y78" s="7">
        <v>0</v>
      </c>
      <c r="Z78" s="7">
        <v>0</v>
      </c>
      <c r="AA78" s="7">
        <v>0</v>
      </c>
      <c r="AB78" s="8">
        <v>0</v>
      </c>
      <c r="AC78" s="8">
        <v>0</v>
      </c>
      <c r="AD78" s="8">
        <v>100</v>
      </c>
      <c r="AE78" s="8">
        <v>0</v>
      </c>
      <c r="AF78" s="8">
        <v>0</v>
      </c>
    </row>
    <row r="79" spans="1:32" x14ac:dyDescent="0.3">
      <c r="A79">
        <v>77</v>
      </c>
      <c r="B79" t="s">
        <v>114</v>
      </c>
      <c r="C79" s="7" t="s">
        <v>111</v>
      </c>
      <c r="D79" s="7">
        <v>0</v>
      </c>
      <c r="E79" s="7">
        <v>0</v>
      </c>
      <c r="F79" s="7">
        <v>0</v>
      </c>
      <c r="G79" s="7">
        <v>0</v>
      </c>
      <c r="H79" s="13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>
        <v>0</v>
      </c>
      <c r="Q79">
        <v>0</v>
      </c>
      <c r="R79" s="7">
        <v>0</v>
      </c>
      <c r="S79">
        <v>0</v>
      </c>
      <c r="T79">
        <v>0</v>
      </c>
      <c r="U79">
        <v>0</v>
      </c>
      <c r="V79">
        <v>0</v>
      </c>
      <c r="W79">
        <v>0</v>
      </c>
      <c r="X79" s="7">
        <v>0</v>
      </c>
      <c r="Y79" s="7">
        <v>0</v>
      </c>
      <c r="Z79" s="7">
        <v>0</v>
      </c>
      <c r="AA79" s="7">
        <v>0</v>
      </c>
      <c r="AB79" s="8">
        <v>0</v>
      </c>
      <c r="AC79" s="8">
        <v>0</v>
      </c>
      <c r="AD79" s="8">
        <v>0</v>
      </c>
      <c r="AE79" s="8">
        <v>100</v>
      </c>
      <c r="AF79" s="8">
        <v>0</v>
      </c>
    </row>
    <row r="80" spans="1:32" x14ac:dyDescent="0.3">
      <c r="A80" s="7">
        <v>78</v>
      </c>
      <c r="B80" s="7" t="s">
        <v>49</v>
      </c>
      <c r="C80" s="7" t="s">
        <v>28</v>
      </c>
      <c r="D80" s="7">
        <f>water!D62</f>
        <v>0</v>
      </c>
      <c r="E80" s="7">
        <f>glucose!D62</f>
        <v>0</v>
      </c>
      <c r="F80" s="7">
        <f>sucrose!D62</f>
        <v>0</v>
      </c>
      <c r="G80" s="7">
        <f>'milk choc'!D62</f>
        <v>0</v>
      </c>
      <c r="H80" s="13">
        <f>'milk chocolate arabinose'!D62</f>
        <v>0</v>
      </c>
      <c r="I80" s="7">
        <f>'gastic milk choc'!D62</f>
        <v>0</v>
      </c>
      <c r="J80" s="7">
        <f>'gastic milk choc arab'!D62</f>
        <v>0</v>
      </c>
      <c r="K80" s="7">
        <f>emulsie!D62</f>
        <v>0</v>
      </c>
      <c r="L80" s="7">
        <f>arabinose!D62</f>
        <v>0</v>
      </c>
      <c r="M80" s="7">
        <v>0</v>
      </c>
      <c r="N80" s="7">
        <v>0</v>
      </c>
      <c r="O80" s="7">
        <v>0</v>
      </c>
      <c r="P80">
        <v>0</v>
      </c>
      <c r="Q80">
        <v>0</v>
      </c>
      <c r="R80" s="7">
        <v>0</v>
      </c>
      <c r="S80">
        <v>0</v>
      </c>
      <c r="T80">
        <v>0</v>
      </c>
      <c r="U80">
        <v>0</v>
      </c>
      <c r="V80">
        <v>0</v>
      </c>
      <c r="W80">
        <v>0</v>
      </c>
      <c r="X80" s="7">
        <v>0</v>
      </c>
      <c r="Y80" s="7">
        <v>0</v>
      </c>
      <c r="Z80" s="7">
        <v>0</v>
      </c>
      <c r="AA80" s="7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</row>
    <row r="81" spans="1:32" x14ac:dyDescent="0.3">
      <c r="A81" s="7">
        <v>79</v>
      </c>
      <c r="B81" s="7" t="s">
        <v>50</v>
      </c>
      <c r="C81" s="7" t="s">
        <v>28</v>
      </c>
      <c r="D81" s="7">
        <f>water!D63</f>
        <v>0</v>
      </c>
      <c r="E81" s="7">
        <f>glucose!D63</f>
        <v>0</v>
      </c>
      <c r="F81" s="7">
        <f>sucrose!D63</f>
        <v>0</v>
      </c>
      <c r="G81" s="7">
        <f>'milk choc'!D63</f>
        <v>0</v>
      </c>
      <c r="H81" s="13">
        <f>'milk chocolate arabinose'!D63</f>
        <v>0</v>
      </c>
      <c r="I81" s="7">
        <f>'gastic milk choc'!D63</f>
        <v>0</v>
      </c>
      <c r="J81" s="7">
        <f>'gastic milk choc arab'!D63</f>
        <v>0</v>
      </c>
      <c r="K81" s="7">
        <f>emulsie!D63</f>
        <v>0</v>
      </c>
      <c r="L81" s="7">
        <f>arabinose!D63</f>
        <v>0</v>
      </c>
      <c r="M81" s="7">
        <v>0</v>
      </c>
      <c r="N81" s="7">
        <v>0</v>
      </c>
      <c r="O81" s="7">
        <v>0</v>
      </c>
      <c r="P81">
        <v>0</v>
      </c>
      <c r="Q81">
        <v>0</v>
      </c>
      <c r="R81" s="7">
        <v>0</v>
      </c>
      <c r="S81">
        <v>0</v>
      </c>
      <c r="T81">
        <v>0</v>
      </c>
      <c r="U81">
        <v>0</v>
      </c>
      <c r="V81">
        <v>0</v>
      </c>
      <c r="W81">
        <v>0</v>
      </c>
      <c r="X81" s="7">
        <v>0</v>
      </c>
      <c r="Y81" s="7">
        <v>0</v>
      </c>
      <c r="Z81" s="7">
        <v>0</v>
      </c>
      <c r="AA81" s="7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</row>
    <row r="82" spans="1:32" x14ac:dyDescent="0.3">
      <c r="A82" s="7">
        <v>80</v>
      </c>
      <c r="B82" s="7" t="s">
        <v>64</v>
      </c>
      <c r="C82" s="7" t="s">
        <v>51</v>
      </c>
      <c r="D82" s="7">
        <f>water!D64</f>
        <v>0</v>
      </c>
      <c r="E82" s="7">
        <f>glucose!D64</f>
        <v>0</v>
      </c>
      <c r="F82" s="7">
        <f>sucrose!D64</f>
        <v>0</v>
      </c>
      <c r="G82" s="7">
        <f>'milk choc'!D64</f>
        <v>0</v>
      </c>
      <c r="H82" s="13">
        <f>'milk chocolate arabinose'!D64</f>
        <v>0</v>
      </c>
      <c r="I82" s="7">
        <f>'gastic milk choc'!D64</f>
        <v>0</v>
      </c>
      <c r="J82" s="7">
        <f>'gastic milk choc arab'!D64</f>
        <v>0</v>
      </c>
      <c r="K82" s="7">
        <f>emulsie!D64</f>
        <v>0</v>
      </c>
      <c r="L82" s="7">
        <f>arabinose!D64</f>
        <v>0</v>
      </c>
      <c r="M82" s="7">
        <v>0</v>
      </c>
      <c r="N82" s="7">
        <v>0</v>
      </c>
      <c r="O82" s="7">
        <v>0</v>
      </c>
      <c r="P82">
        <v>0</v>
      </c>
      <c r="Q82">
        <v>0</v>
      </c>
      <c r="R82" s="7">
        <v>0</v>
      </c>
      <c r="S82">
        <v>0</v>
      </c>
      <c r="T82">
        <v>0</v>
      </c>
      <c r="U82">
        <v>0</v>
      </c>
      <c r="V82">
        <v>0</v>
      </c>
      <c r="W82">
        <v>0</v>
      </c>
      <c r="X82" s="7">
        <v>0</v>
      </c>
      <c r="Y82" s="7">
        <v>0</v>
      </c>
      <c r="Z82" s="7">
        <v>0</v>
      </c>
      <c r="AA82" s="7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</row>
    <row r="83" spans="1:32" x14ac:dyDescent="0.3">
      <c r="A83" s="7">
        <v>0</v>
      </c>
      <c r="D83" s="7">
        <f t="shared" ref="D83:L83" si="0">SUM(D36:D82)</f>
        <v>100</v>
      </c>
      <c r="E83" s="7">
        <f t="shared" si="0"/>
        <v>100</v>
      </c>
      <c r="F83" s="7">
        <f t="shared" si="0"/>
        <v>100</v>
      </c>
      <c r="G83" s="7">
        <f t="shared" si="0"/>
        <v>100.31</v>
      </c>
      <c r="H83" s="7">
        <f t="shared" si="0"/>
        <v>100.41</v>
      </c>
      <c r="I83" s="7">
        <f t="shared" si="0"/>
        <v>99.83</v>
      </c>
      <c r="J83" s="7">
        <f t="shared" si="0"/>
        <v>99.83</v>
      </c>
      <c r="K83" s="7">
        <f t="shared" si="0"/>
        <v>100</v>
      </c>
      <c r="L83" s="7">
        <f t="shared" si="0"/>
        <v>100</v>
      </c>
      <c r="M83" s="7">
        <f>SUM(M36:M82)</f>
        <v>99</v>
      </c>
      <c r="N83" s="7">
        <f t="shared" ref="N83:AF83" si="1">SUM(N36:N82)</f>
        <v>99</v>
      </c>
      <c r="O83" s="7">
        <f t="shared" si="1"/>
        <v>99</v>
      </c>
      <c r="P83">
        <f t="shared" si="1"/>
        <v>98</v>
      </c>
      <c r="Q83">
        <f t="shared" si="1"/>
        <v>98</v>
      </c>
      <c r="R83" s="7">
        <f t="shared" si="1"/>
        <v>132</v>
      </c>
      <c r="S83">
        <f t="shared" ref="S83" si="2">SUM(S36:S82)</f>
        <v>132</v>
      </c>
      <c r="T83">
        <v>132</v>
      </c>
      <c r="U83">
        <f t="shared" ref="U83:AA83" si="3">SUM(U36:U82)</f>
        <v>113</v>
      </c>
      <c r="V83">
        <f t="shared" ref="V83" si="4">SUM(V36:V82)</f>
        <v>113</v>
      </c>
      <c r="W83">
        <v>119</v>
      </c>
      <c r="X83" s="7">
        <f t="shared" si="3"/>
        <v>100</v>
      </c>
      <c r="Y83" s="7">
        <f t="shared" si="3"/>
        <v>100</v>
      </c>
      <c r="Z83" s="7">
        <f t="shared" si="3"/>
        <v>100</v>
      </c>
      <c r="AA83" s="7">
        <f t="shared" si="3"/>
        <v>100</v>
      </c>
      <c r="AB83" s="7">
        <f t="shared" si="1"/>
        <v>100</v>
      </c>
      <c r="AC83" s="7">
        <f t="shared" si="1"/>
        <v>100</v>
      </c>
      <c r="AD83" s="7">
        <f t="shared" si="1"/>
        <v>100</v>
      </c>
      <c r="AE83" s="7">
        <f t="shared" si="1"/>
        <v>100</v>
      </c>
      <c r="AF83" s="7">
        <f t="shared" si="1"/>
        <v>119</v>
      </c>
    </row>
    <row r="84" spans="1:32" x14ac:dyDescent="0.3">
      <c r="B84" s="7" t="s">
        <v>88</v>
      </c>
      <c r="C84" s="7" t="s">
        <v>91</v>
      </c>
      <c r="D84" s="7">
        <f>water!D66</f>
        <v>1</v>
      </c>
      <c r="E84" s="7">
        <f>glucose!D66</f>
        <v>1.44</v>
      </c>
      <c r="F84" s="7">
        <f>sucrose!D66</f>
        <v>1.44</v>
      </c>
      <c r="G84" s="7">
        <f>'milk choc'!D66</f>
        <v>1.3</v>
      </c>
      <c r="H84" s="13">
        <f>'milk chocolate arabinose'!D66</f>
        <v>1.3</v>
      </c>
      <c r="I84" s="7">
        <f>'gastic milk choc'!D66</f>
        <v>1.2</v>
      </c>
      <c r="J84" s="7">
        <f>'gastic milk choc arab'!D66</f>
        <v>1.2</v>
      </c>
      <c r="K84" s="7">
        <f>emulsie!D66</f>
        <v>0.95</v>
      </c>
      <c r="L84" s="7">
        <f>arabinose!D66</f>
        <v>1.44</v>
      </c>
      <c r="M84" s="7">
        <v>1.44</v>
      </c>
      <c r="N84" s="7">
        <v>1.44</v>
      </c>
      <c r="O84" s="7">
        <v>1.44</v>
      </c>
      <c r="P84">
        <v>1.4</v>
      </c>
      <c r="Q84">
        <v>1.4</v>
      </c>
      <c r="R84" s="7">
        <v>1.4</v>
      </c>
      <c r="S84">
        <v>1.4</v>
      </c>
      <c r="T84">
        <v>1.4</v>
      </c>
      <c r="U84">
        <v>1.4</v>
      </c>
      <c r="V84">
        <v>1.4</v>
      </c>
      <c r="W84">
        <v>1.4</v>
      </c>
      <c r="X84" s="7">
        <v>1</v>
      </c>
      <c r="Y84" s="7">
        <v>1</v>
      </c>
      <c r="Z84" s="7">
        <v>1</v>
      </c>
      <c r="AA84" s="7">
        <v>1</v>
      </c>
      <c r="AB84" s="8">
        <v>1.4</v>
      </c>
      <c r="AC84" s="8">
        <v>1.4</v>
      </c>
      <c r="AD84" s="8">
        <v>1.4</v>
      </c>
      <c r="AE84" s="8">
        <v>1.4</v>
      </c>
      <c r="AF84" s="8">
        <v>1.4</v>
      </c>
    </row>
  </sheetData>
  <hyperlinks>
    <hyperlink ref="D14" location="water!A1" display="water" xr:uid="{00000000-0004-0000-0000-000000000000}"/>
    <hyperlink ref="E14" location="glucose!A1" display="glucose" xr:uid="{00000000-0004-0000-0000-000001000000}"/>
    <hyperlink ref="F14" location="sucrose!A1" display="sucrose" xr:uid="{00000000-0004-0000-0000-000002000000}"/>
    <hyperlink ref="G14" location="'milk choc'!A1" display="milk choc" xr:uid="{00000000-0004-0000-0000-000003000000}"/>
    <hyperlink ref="H14" location="'milk chocolate arabinose'!A1" display="milk choc arab" xr:uid="{00000000-0004-0000-0000-000004000000}"/>
    <hyperlink ref="I14" location="'gastic milk choc'!A1" display="'gastic milk choc'!A1" xr:uid="{00000000-0004-0000-0000-000005000000}"/>
    <hyperlink ref="J14" location="'gastic milk choc arab'!A1" display="'gastic milk choc arab'!A1" xr:uid="{00000000-0004-0000-0000-000006000000}"/>
    <hyperlink ref="K14" location="emulsie!A1" display="emulsie" xr:uid="{00000000-0004-0000-0000-000007000000}"/>
    <hyperlink ref="L14" location="arabinose!A1" display="arabinose" xr:uid="{00000000-0004-0000-0000-000008000000}"/>
  </hyperlink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22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100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</v>
      </c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"/>
  <sheetViews>
    <sheetView topLeftCell="A25" workbookViewId="0">
      <selection activeCell="D66" sqref="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24</v>
      </c>
    </row>
    <row r="3" spans="2:5" ht="18" x14ac:dyDescent="0.35">
      <c r="B3" s="2" t="s">
        <v>12</v>
      </c>
      <c r="C3" s="1" t="s">
        <v>10</v>
      </c>
      <c r="D3" s="1" t="s">
        <v>2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x14ac:dyDescent="0.3">
      <c r="D22" s="5"/>
      <c r="E22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100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90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6"/>
  <sheetViews>
    <sheetView topLeftCell="A46" workbookViewId="0">
      <selection activeCell="E68" sqref="E68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100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14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100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100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41.5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100.31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21</v>
      </c>
    </row>
    <row r="3" spans="2:5" ht="18" x14ac:dyDescent="0.35">
      <c r="B3" s="2" t="s">
        <v>12</v>
      </c>
      <c r="C3" s="1" t="s">
        <v>10</v>
      </c>
      <c r="D3" s="1" t="s">
        <v>74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50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ht="13.8" customHeight="1" x14ac:dyDescent="0.3"/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29.7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11.9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100.41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6"/>
  <sheetViews>
    <sheetView workbookViewId="0">
      <selection activeCell="F67" sqref="F67"/>
    </sheetView>
  </sheetViews>
  <sheetFormatPr defaultRowHeight="14.4" x14ac:dyDescent="0.3"/>
  <cols>
    <col min="2" max="2" width="30.33203125" customWidth="1"/>
    <col min="4" max="4" width="10" bestFit="1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9" workbookViewId="0">
      <selection activeCell="F69" sqref="F69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5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6"/>
  <sheetViews>
    <sheetView topLeftCell="A16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86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50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50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</v>
      </c>
    </row>
    <row r="66" spans="2:4" x14ac:dyDescent="0.3">
      <c r="B66" t="s">
        <v>88</v>
      </c>
      <c r="C66" t="s">
        <v>89</v>
      </c>
      <c r="D66">
        <v>0.95</v>
      </c>
    </row>
  </sheetData>
  <pageMargins left="0.7" right="0.7" top="0.75" bottom="0.75" header="0.3" footer="0.3"/>
  <pageSetup paperSize="9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6"/>
  <sheetViews>
    <sheetView topLeftCell="A4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93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100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FDC3-5C77-49DB-8EF0-2FD0F373D518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94</v>
      </c>
    </row>
    <row r="3" spans="2:5" ht="18" x14ac:dyDescent="0.35">
      <c r="B3" s="2" t="s">
        <v>12</v>
      </c>
      <c r="C3" s="1" t="s">
        <v>10</v>
      </c>
      <c r="D3" s="1" t="s">
        <v>94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100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9192-C7E2-4795-8F9F-5D8E086A3D53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95</v>
      </c>
    </row>
    <row r="3" spans="2:5" ht="18" x14ac:dyDescent="0.35">
      <c r="B3" s="2" t="s">
        <v>12</v>
      </c>
      <c r="C3" s="1" t="s">
        <v>10</v>
      </c>
      <c r="D3" s="1" t="s">
        <v>95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10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100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DD61-2A69-40DA-AAD3-753E62890989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96</v>
      </c>
    </row>
    <row r="3" spans="2:5" ht="18" x14ac:dyDescent="0.35">
      <c r="B3" s="2" t="s">
        <v>12</v>
      </c>
      <c r="C3" s="1" t="s">
        <v>10</v>
      </c>
      <c r="D3" s="1" t="s">
        <v>97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100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meal</vt:lpstr>
      <vt:lpstr>water</vt:lpstr>
      <vt:lpstr>glucose</vt:lpstr>
      <vt:lpstr>sucrose</vt:lpstr>
      <vt:lpstr>milk choc</vt:lpstr>
      <vt:lpstr>milk chocolate arabinose</vt:lpstr>
      <vt:lpstr>gastic milk choc</vt:lpstr>
      <vt:lpstr>gastic milk choc arab</vt:lpstr>
      <vt:lpstr>emulsie</vt:lpstr>
      <vt:lpstr>arabinose</vt:lpstr>
      <vt:lpstr>rapid starch</vt:lpstr>
      <vt:lpstr>slow starch</vt:lpstr>
      <vt:lpstr>resistant starch</vt:lpstr>
      <vt:lpstr>arabinose!_1_water</vt:lpstr>
      <vt:lpstr>'rapid starch'!_1_water</vt:lpstr>
      <vt:lpstr>'resistant starch'!_1_water</vt:lpstr>
      <vt:lpstr>'slow starch'!_1_water</vt:lpstr>
      <vt:lpstr>_1_water</vt:lpstr>
      <vt:lpstr>milk_choc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2024-09-27T13:09:47Z</dcterms:modified>
</cp:coreProperties>
</file>