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defaultThemeVersion="124226"/>
  <xr:revisionPtr revIDLastSave="0" documentId="13_ncr:1_{79A0AB3D-2611-43B5-BA0E-E3520A8FBBE8}" xr6:coauthVersionLast="47" xr6:coauthVersionMax="47" xr10:uidLastSave="{00000000-0000-0000-0000-000000000000}"/>
  <bookViews>
    <workbookView xWindow="1464" yWindow="1464" windowWidth="17280" windowHeight="8964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79" i="3" l="1"/>
  <c r="R79" i="3"/>
  <c r="Q79" i="3" l="1"/>
  <c r="P79" i="3"/>
  <c r="O79" i="3"/>
  <c r="N79" i="3"/>
  <c r="M79" i="3"/>
  <c r="L54" i="3" l="1"/>
  <c r="K54" i="3"/>
  <c r="E54" i="3"/>
  <c r="D54" i="3"/>
  <c r="L53" i="3"/>
  <c r="K53" i="3"/>
  <c r="J53" i="3"/>
  <c r="I53" i="3"/>
  <c r="H53" i="3"/>
  <c r="G53" i="3"/>
  <c r="D53" i="3"/>
  <c r="L52" i="3"/>
  <c r="K52" i="3"/>
  <c r="J52" i="3"/>
  <c r="I52" i="3"/>
  <c r="H52" i="3"/>
  <c r="G52" i="3"/>
  <c r="D52" i="3"/>
  <c r="D55" i="3"/>
  <c r="E55" i="3"/>
  <c r="F55" i="3"/>
  <c r="G55" i="3"/>
  <c r="H55" i="3"/>
  <c r="I55" i="3"/>
  <c r="J55" i="3"/>
  <c r="K55" i="3"/>
  <c r="L55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0" i="3" l="1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1" i="3"/>
  <c r="L50" i="3"/>
  <c r="L49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1" i="3"/>
  <c r="L30" i="3"/>
  <c r="L29" i="3"/>
  <c r="L28" i="3"/>
  <c r="L26" i="3"/>
  <c r="L25" i="3"/>
  <c r="L24" i="3"/>
  <c r="L23" i="3"/>
  <c r="L21" i="3"/>
  <c r="L20" i="3"/>
  <c r="L19" i="3"/>
  <c r="L18" i="3"/>
  <c r="L16" i="3"/>
  <c r="L15" i="3"/>
  <c r="L14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9" i="3" l="1"/>
  <c r="K80" i="3"/>
  <c r="J80" i="3"/>
  <c r="I80" i="3"/>
  <c r="H80" i="3"/>
  <c r="G80" i="3"/>
  <c r="F80" i="3"/>
  <c r="E80" i="3"/>
  <c r="D80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F29" i="3"/>
  <c r="E29" i="3"/>
  <c r="D29" i="3"/>
  <c r="K28" i="3"/>
  <c r="J28" i="3"/>
  <c r="I28" i="3"/>
  <c r="F28" i="3"/>
  <c r="E28" i="3"/>
  <c r="D28" i="3"/>
  <c r="K27" i="3"/>
  <c r="K26" i="3"/>
  <c r="J26" i="3"/>
  <c r="I26" i="3"/>
  <c r="H26" i="3"/>
  <c r="G26" i="3"/>
  <c r="F26" i="3"/>
  <c r="E26" i="3"/>
  <c r="D26" i="3"/>
  <c r="K25" i="3"/>
  <c r="J25" i="3"/>
  <c r="I25" i="3"/>
  <c r="H25" i="3"/>
  <c r="G25" i="3"/>
  <c r="F25" i="3"/>
  <c r="E25" i="3"/>
  <c r="D25" i="3"/>
  <c r="K24" i="3"/>
  <c r="J24" i="3"/>
  <c r="I24" i="3"/>
  <c r="F24" i="3"/>
  <c r="E24" i="3"/>
  <c r="D24" i="3"/>
  <c r="K23" i="3"/>
  <c r="J23" i="3"/>
  <c r="I23" i="3"/>
  <c r="G23" i="3"/>
  <c r="F23" i="3"/>
  <c r="E23" i="3"/>
  <c r="D23" i="3"/>
  <c r="K22" i="3"/>
  <c r="K21" i="3"/>
  <c r="J21" i="3"/>
  <c r="I21" i="3"/>
  <c r="H21" i="3"/>
  <c r="G21" i="3"/>
  <c r="F21" i="3"/>
  <c r="E21" i="3"/>
  <c r="D21" i="3"/>
  <c r="K20" i="3"/>
  <c r="J20" i="3"/>
  <c r="I20" i="3"/>
  <c r="H20" i="3"/>
  <c r="G20" i="3"/>
  <c r="F20" i="3"/>
  <c r="E20" i="3"/>
  <c r="D20" i="3"/>
  <c r="K19" i="3"/>
  <c r="J19" i="3"/>
  <c r="I19" i="3"/>
  <c r="F19" i="3"/>
  <c r="E19" i="3"/>
  <c r="D19" i="3"/>
  <c r="K18" i="3"/>
  <c r="J18" i="3"/>
  <c r="I18" i="3"/>
  <c r="G18" i="3"/>
  <c r="F18" i="3"/>
  <c r="E18" i="3"/>
  <c r="D18" i="3"/>
  <c r="K17" i="3"/>
  <c r="K16" i="3"/>
  <c r="H16" i="3"/>
  <c r="G16" i="3"/>
  <c r="F16" i="3"/>
  <c r="E16" i="3"/>
  <c r="D16" i="3"/>
  <c r="K15" i="3"/>
  <c r="H15" i="3"/>
  <c r="G15" i="3"/>
  <c r="D15" i="3"/>
  <c r="I79" i="3" l="1"/>
  <c r="D79" i="3"/>
  <c r="E79" i="3"/>
  <c r="G79" i="3"/>
  <c r="F79" i="3"/>
  <c r="H79" i="3"/>
  <c r="J79" i="3"/>
  <c r="K79" i="3"/>
  <c r="K14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4" i="3" l="1"/>
  <c r="I14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4" i="3" l="1"/>
  <c r="G14" i="3"/>
  <c r="F14" i="3"/>
  <c r="E14" i="3"/>
  <c r="D14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<sst xmlns="http://schemas.openxmlformats.org/spreadsheetml/2006/main" count="1095" uniqueCount="106">
  <si>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</si>
  <si>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</si>
  <si>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</si>
  <si>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</si>
  <si>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</si>
  <si>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</si>
  <si>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</si>
  <si>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</si>
  <si>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</si>
  <si>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</si>
  <si>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</si>
  <si>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</si>
  <si>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</si>
  <si>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</si>
  <si>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</si>
  <si>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</si>
  <si>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</si>
  <si>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</si>
  <si>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</si>
  <si>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</si>
  <si>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</si>
  <si>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</si>
  <si>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</si>
  <si>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</si>
  <si>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</si>
  <si>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</si>
  <si>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</si>
  <si>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</si>
  <si>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</si>
  <si>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</si>
  <si>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</si>
  <si>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</si>
  <si>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</si>
  <si>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</si>
  <si>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</si>
  <si>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</si>
  <si>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</si>
  <si>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</si>
  <si>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</si>
  <si>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</si>
  <si>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</si>
  <si>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</si>
  <si>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</si>
  <si>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</si>
  <si>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</si>
  <si>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</si>
  <si>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</si>
  <si>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</si>
  <si>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</si>
  <si>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</si>
  <si>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</si>
  <si>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</si>
  <si>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</si>
  <si>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</si>
  <si>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</si>
  <si>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</si>
  <si>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</si>
  <si>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</si>
  <si>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</si>
  <si>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</si>
  <si>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</si>
  <si>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</si>
  <si>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</si>
  <si>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</si>
  <si>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</si>
  <si>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</si>
  <si>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</si>
  <si>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</si>
  <si>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</si>
  <si>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</si>
  <si>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</si>
  <si>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</si>
  <si>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</si>
  <si>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</si>
  <si>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</si>
  <si>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</si>
  <si>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</si>
  <si>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</si>
  <si>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</si>
  <si>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</si>
  <si>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</si>
  <si>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</si>
  <si>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</si>
  <si>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</si>
  <si>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</si>
  <si>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</si>
  <si>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</si>
  <si>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</si>
  <si>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</si>
  <si>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</si>
  <si>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</si>
  <si>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</si>
  <si>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</si>
  <si>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</si>
  <si>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</si>
  <si>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</si>
  <si>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</si>
  <si>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</si>
  <si>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</si>
  <si>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</si>
  <si>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</si>
  <si>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</si>
  <si>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</si>
  <si>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</si>
  <si>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</si>
  <si>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Bcasein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</si>
</sst>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/>
      <sheetData sheetId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>
        <row r="44">
          <cell r="D44">
            <v>0</v>
          </cell>
        </row>
      </sheetData>
      <sheetData sheetId="3"/>
      <sheetData sheetId="4">
        <row r="42">
          <cell r="D42">
            <v>0</v>
          </cell>
        </row>
        <row r="43">
          <cell r="D43">
            <v>0</v>
          </cell>
        </row>
      </sheetData>
      <sheetData sheetId="5">
        <row r="42">
          <cell r="D42">
            <v>0</v>
          </cell>
        </row>
        <row r="43">
          <cell r="D43">
            <v>0</v>
          </cell>
        </row>
      </sheetData>
      <sheetData sheetId="6">
        <row r="42">
          <cell r="D42">
            <v>0</v>
          </cell>
        </row>
        <row r="43">
          <cell r="D43">
            <v>0</v>
          </cell>
        </row>
      </sheetData>
      <sheetData sheetId="7">
        <row r="42">
          <cell r="D42">
            <v>0</v>
          </cell>
        </row>
        <row r="43">
          <cell r="D43">
            <v>0</v>
          </cell>
        </row>
      </sheetData>
      <sheetData sheetId="8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"/>
  <sheetViews>
    <sheetView tabSelected="1" topLeftCell="B3" workbookViewId="0">
      <selection activeCell="B8" sqref="A8:XFD9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7" width="8.88671875" style="7"/>
    <col min="8" max="8" width="8.77734375" style="7" customWidth="1"/>
    <col min="9" max="9" width="8.88671875" style="7"/>
    <col min="10" max="10" width="17.33203125" style="7" customWidth="1"/>
    <col min="11" max="16384" width="8.88671875" style="7"/>
  </cols>
  <sheetData>
    <row r="1" spans="1:26" ht="23.4" x14ac:dyDescent="0.45">
      <c r="A1" s="6" t="s">
        <v>0</v>
      </c>
    </row>
    <row r="2" spans="1:26" x14ac:dyDescent="0.3">
      <c r="A2" s="7" t="s">
        <v>76</v>
      </c>
      <c r="D2" s="7" t="s">
        <v>27</v>
      </c>
      <c r="E2" s="7">
        <v>500</v>
      </c>
    </row>
    <row r="4" spans="1:2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</row>
    <row r="6" spans="1:26" x14ac:dyDescent="0.3">
      <c r="A6" s="14">
        <v>0</v>
      </c>
      <c r="B6" s="9">
        <v>15</v>
      </c>
      <c r="C6" s="7">
        <v>20</v>
      </c>
      <c r="D6" s="7">
        <v>1</v>
      </c>
      <c r="E6" s="7">
        <v>50</v>
      </c>
      <c r="U6" s="10"/>
      <c r="V6" s="11"/>
      <c r="W6" s="11"/>
    </row>
    <row r="7" spans="1:26" x14ac:dyDescent="0.3">
      <c r="A7" s="14">
        <v>1</v>
      </c>
      <c r="B7" s="9">
        <v>1</v>
      </c>
      <c r="C7" s="7">
        <v>250</v>
      </c>
      <c r="D7" s="7">
        <v>1</v>
      </c>
      <c r="E7" s="7">
        <v>50</v>
      </c>
      <c r="U7" s="10"/>
      <c r="V7" s="11"/>
      <c r="W7" s="11"/>
    </row>
    <row r="8" spans="1:26" x14ac:dyDescent="0.3">
      <c r="A8" s="14"/>
      <c r="B8" s="9"/>
      <c r="U8" s="10"/>
      <c r="V8" s="11"/>
      <c r="W8" s="11"/>
    </row>
    <row r="9" spans="1:26" x14ac:dyDescent="0.3">
      <c r="A9" s="14"/>
      <c r="B9" s="9"/>
      <c r="C9"/>
      <c r="D9"/>
      <c r="E9"/>
      <c r="U9" s="10"/>
      <c r="V9" s="11"/>
      <c r="W9" s="11"/>
    </row>
    <row r="10" spans="1:26" x14ac:dyDescent="0.3">
      <c r="A10" s="9">
        <v>9999</v>
      </c>
      <c r="B10" s="8"/>
    </row>
    <row r="11" spans="1:26" x14ac:dyDescent="0.3">
      <c r="B11" s="8"/>
      <c r="C11" s="8"/>
    </row>
    <row r="12" spans="1:26" s="8" customFormat="1" ht="18" x14ac:dyDescent="0.35">
      <c r="A12" s="12" t="s">
        <v>72</v>
      </c>
      <c r="C12" s="8" t="s">
        <v>68</v>
      </c>
      <c r="D12" s="12">
        <v>1</v>
      </c>
      <c r="E12" s="12">
        <v>2</v>
      </c>
      <c r="F12" s="12">
        <v>3</v>
      </c>
      <c r="G12" s="12">
        <v>4</v>
      </c>
      <c r="H12" s="12">
        <v>5</v>
      </c>
      <c r="I12" s="12">
        <v>6</v>
      </c>
      <c r="J12" s="12">
        <v>7</v>
      </c>
      <c r="K12" s="12">
        <v>8</v>
      </c>
      <c r="L12" s="12">
        <v>9</v>
      </c>
      <c r="M12" s="12">
        <v>10</v>
      </c>
      <c r="N12" s="12">
        <v>11</v>
      </c>
      <c r="O12" s="12">
        <v>12</v>
      </c>
      <c r="P12" s="12">
        <v>13</v>
      </c>
      <c r="Q12" s="12">
        <v>14</v>
      </c>
      <c r="R12" s="12">
        <v>15</v>
      </c>
      <c r="S12" s="12">
        <v>16</v>
      </c>
      <c r="T12" s="12">
        <v>9999</v>
      </c>
    </row>
    <row r="13" spans="1:26" x14ac:dyDescent="0.3">
      <c r="A13" s="8" t="s">
        <v>75</v>
      </c>
      <c r="B13" s="8"/>
      <c r="C13" s="8"/>
      <c r="D13" s="11" t="s">
        <v>8</v>
      </c>
      <c r="E13" s="11" t="s">
        <v>2</v>
      </c>
      <c r="F13" s="11" t="s">
        <v>4</v>
      </c>
      <c r="G13" s="11" t="s">
        <v>73</v>
      </c>
      <c r="H13" s="11" t="s">
        <v>74</v>
      </c>
      <c r="I13" s="10" t="s">
        <v>84</v>
      </c>
      <c r="J13" s="10" t="s">
        <v>85</v>
      </c>
      <c r="K13" s="10" t="s">
        <v>87</v>
      </c>
      <c r="L13" s="11" t="s">
        <v>38</v>
      </c>
      <c r="M13" s="8" t="s">
        <v>94</v>
      </c>
      <c r="N13" s="8" t="s">
        <v>95</v>
      </c>
      <c r="O13" s="8" t="s">
        <v>97</v>
      </c>
      <c r="P13" s="8" t="s">
        <v>99</v>
      </c>
      <c r="Q13" s="8" t="s">
        <v>98</v>
      </c>
      <c r="R13" s="1" t="s">
        <v>6</v>
      </c>
      <c r="S13" s="1" t="s">
        <v>105</v>
      </c>
    </row>
    <row r="14" spans="1:26" x14ac:dyDescent="0.3">
      <c r="A14" s="7" t="s">
        <v>1</v>
      </c>
      <c r="C14" s="7" t="s">
        <v>43</v>
      </c>
      <c r="D14" s="7">
        <f>water!D4</f>
        <v>7</v>
      </c>
      <c r="E14" s="7">
        <f>glucose!D4</f>
        <v>7</v>
      </c>
      <c r="F14" s="7">
        <f>sucrose!D4</f>
        <v>7</v>
      </c>
      <c r="G14" s="7">
        <f>'milk choc'!D4</f>
        <v>7</v>
      </c>
      <c r="H14" s="13">
        <f>'milk chocolate arabinose'!D4</f>
        <v>7</v>
      </c>
      <c r="I14" s="7">
        <f>'gastic milk choc'!D4</f>
        <v>7</v>
      </c>
      <c r="J14" s="7">
        <f>'gastic milk choc arab'!D4</f>
        <v>7</v>
      </c>
      <c r="K14" s="7">
        <f>emulsie!D4</f>
        <v>7</v>
      </c>
      <c r="L14" s="7">
        <f>arabinose!D4</f>
        <v>7</v>
      </c>
      <c r="M14" s="7">
        <v>7</v>
      </c>
      <c r="N14" s="7">
        <v>7</v>
      </c>
      <c r="O14" s="7">
        <v>7</v>
      </c>
      <c r="P14" s="8">
        <v>7</v>
      </c>
      <c r="Q14" s="8">
        <v>7</v>
      </c>
      <c r="R14" s="8">
        <v>7</v>
      </c>
      <c r="S14" s="8">
        <v>7</v>
      </c>
    </row>
    <row r="15" spans="1:26" x14ac:dyDescent="0.3">
      <c r="A15" s="7" t="s">
        <v>42</v>
      </c>
      <c r="C15" s="7" t="s">
        <v>104</v>
      </c>
      <c r="D15" s="7">
        <f>water!D5</f>
        <v>0</v>
      </c>
      <c r="E15" s="7">
        <v>1</v>
      </c>
      <c r="F15" s="7">
        <v>1</v>
      </c>
      <c r="G15" s="7">
        <f>'milk choc'!D5</f>
        <v>1</v>
      </c>
      <c r="H15" s="13">
        <f>'milk chocolate arabinose'!D5</f>
        <v>1</v>
      </c>
      <c r="I15" s="7">
        <v>0</v>
      </c>
      <c r="J15" s="7">
        <v>0</v>
      </c>
      <c r="K15" s="7">
        <f>emulsie!D5</f>
        <v>0</v>
      </c>
      <c r="L15" s="7">
        <f>arabinose!D5</f>
        <v>1</v>
      </c>
      <c r="M15" s="7">
        <v>2</v>
      </c>
      <c r="N15" s="7">
        <v>1</v>
      </c>
      <c r="O15" s="7">
        <v>1</v>
      </c>
      <c r="P15" s="8">
        <v>1</v>
      </c>
      <c r="Q15" s="8">
        <v>1</v>
      </c>
      <c r="R15" s="8">
        <v>1</v>
      </c>
      <c r="S15" s="8">
        <v>1</v>
      </c>
    </row>
    <row r="16" spans="1:26" x14ac:dyDescent="0.3">
      <c r="A16" s="7" t="s">
        <v>44</v>
      </c>
      <c r="C16" s="7" t="s">
        <v>45</v>
      </c>
      <c r="D16" s="7">
        <f>water!D6</f>
        <v>1</v>
      </c>
      <c r="E16" s="7">
        <f>glucose!D6</f>
        <v>1</v>
      </c>
      <c r="F16" s="7">
        <f>sucrose!D6</f>
        <v>1</v>
      </c>
      <c r="G16" s="7">
        <f>'milk choc'!D6</f>
        <v>1</v>
      </c>
      <c r="H16" s="13">
        <f>'milk chocolate arabinose'!D6</f>
        <v>1</v>
      </c>
      <c r="I16" s="7">
        <v>1000</v>
      </c>
      <c r="J16" s="7">
        <v>1000</v>
      </c>
      <c r="K16" s="7">
        <f>emulsie!D6</f>
        <v>1</v>
      </c>
      <c r="L16" s="7">
        <f>arabinose!D6</f>
        <v>1</v>
      </c>
      <c r="M16" s="7">
        <v>1000</v>
      </c>
      <c r="N16" s="7">
        <v>1</v>
      </c>
      <c r="O16" s="7">
        <v>1</v>
      </c>
      <c r="P16" s="8">
        <v>10000</v>
      </c>
      <c r="Q16" s="8">
        <v>10000</v>
      </c>
      <c r="R16" s="8">
        <v>1</v>
      </c>
      <c r="S16" s="8">
        <v>1</v>
      </c>
    </row>
    <row r="17" spans="1:20" x14ac:dyDescent="0.3">
      <c r="A17" s="7" t="s">
        <v>34</v>
      </c>
      <c r="C17" s="7" t="s">
        <v>27</v>
      </c>
      <c r="D17" s="7">
        <v>0.1</v>
      </c>
      <c r="E17" s="7">
        <v>0.1</v>
      </c>
      <c r="F17" s="7">
        <v>0.1</v>
      </c>
      <c r="G17" s="7">
        <v>1</v>
      </c>
      <c r="H17" s="13">
        <v>1</v>
      </c>
      <c r="I17" s="7">
        <v>5</v>
      </c>
      <c r="J17" s="7">
        <v>5</v>
      </c>
      <c r="K17" s="7">
        <f>emulsie!D7</f>
        <v>1</v>
      </c>
      <c r="L17" s="7">
        <v>0.1</v>
      </c>
      <c r="M17" s="7">
        <v>10</v>
      </c>
      <c r="N17" s="7">
        <v>50</v>
      </c>
      <c r="O17" s="7">
        <v>1</v>
      </c>
      <c r="P17" s="8">
        <v>10</v>
      </c>
      <c r="Q17" s="8">
        <v>20</v>
      </c>
      <c r="R17" s="8">
        <v>0.1</v>
      </c>
      <c r="S17" s="8">
        <v>0.1</v>
      </c>
    </row>
    <row r="18" spans="1:20" x14ac:dyDescent="0.3">
      <c r="C18" s="7" t="s">
        <v>80</v>
      </c>
      <c r="D18" s="7">
        <f>water!D8</f>
        <v>0</v>
      </c>
      <c r="E18" s="7">
        <f>glucose!D8</f>
        <v>0</v>
      </c>
      <c r="F18" s="7">
        <f>sucrose!D8</f>
        <v>0</v>
      </c>
      <c r="G18" s="7">
        <f>'milk choc'!D8</f>
        <v>6</v>
      </c>
      <c r="H18" s="13">
        <v>7</v>
      </c>
      <c r="I18" s="7">
        <f>'gastic milk choc'!D8</f>
        <v>0</v>
      </c>
      <c r="J18" s="7">
        <f>'gastic milk choc arab'!D8</f>
        <v>0</v>
      </c>
      <c r="K18" s="7">
        <f>emulsie!D8</f>
        <v>0</v>
      </c>
      <c r="L18" s="7">
        <f>arabinose!D8</f>
        <v>0</v>
      </c>
      <c r="M18" s="7">
        <v>0</v>
      </c>
      <c r="N18" s="7">
        <v>0</v>
      </c>
      <c r="O18" s="7">
        <v>0</v>
      </c>
      <c r="P18" s="8">
        <v>10</v>
      </c>
      <c r="Q18" s="8">
        <v>11</v>
      </c>
      <c r="R18" s="8">
        <v>0</v>
      </c>
      <c r="S18" s="8">
        <v>0</v>
      </c>
      <c r="T18" s="15"/>
    </row>
    <row r="19" spans="1:20" x14ac:dyDescent="0.3">
      <c r="C19" s="7" t="s">
        <v>82</v>
      </c>
      <c r="D19" s="7">
        <f>water!D9</f>
        <v>0</v>
      </c>
      <c r="E19" s="7">
        <f>glucose!D9</f>
        <v>0</v>
      </c>
      <c r="F19" s="7">
        <f>sucrose!D9</f>
        <v>0</v>
      </c>
      <c r="G19" s="7">
        <v>95</v>
      </c>
      <c r="H19" s="13">
        <v>95</v>
      </c>
      <c r="I19" s="7">
        <f>'gastic milk choc'!D9</f>
        <v>0</v>
      </c>
      <c r="J19" s="7">
        <f>'gastic milk choc arab'!D9</f>
        <v>0</v>
      </c>
      <c r="K19" s="7">
        <f>emulsie!D9</f>
        <v>0</v>
      </c>
      <c r="L19" s="7">
        <f>arabinose!D9</f>
        <v>0</v>
      </c>
      <c r="M19" s="7">
        <v>0</v>
      </c>
      <c r="N19" s="7">
        <v>0</v>
      </c>
      <c r="O19" s="7">
        <v>0</v>
      </c>
      <c r="P19" s="8">
        <v>50</v>
      </c>
      <c r="Q19" s="8">
        <v>100</v>
      </c>
      <c r="R19" s="8">
        <v>0</v>
      </c>
      <c r="S19" s="8">
        <v>0</v>
      </c>
      <c r="T19" s="11"/>
    </row>
    <row r="20" spans="1:20" x14ac:dyDescent="0.3">
      <c r="C20" s="7" t="s">
        <v>81</v>
      </c>
      <c r="D20" s="7">
        <f>water!D10</f>
        <v>0</v>
      </c>
      <c r="E20" s="7">
        <f>glucose!D10</f>
        <v>0</v>
      </c>
      <c r="F20" s="7">
        <f>sucrose!D10</f>
        <v>0</v>
      </c>
      <c r="G20" s="7">
        <f>'milk choc'!D10</f>
        <v>0</v>
      </c>
      <c r="H20" s="13">
        <f>'milk chocolate arabinose'!D10</f>
        <v>0</v>
      </c>
      <c r="I20" s="7">
        <f>'gastic milk choc'!D10</f>
        <v>0</v>
      </c>
      <c r="J20" s="7">
        <f>'gastic milk choc arab'!D10</f>
        <v>0</v>
      </c>
      <c r="K20" s="7">
        <f>emulsie!D10</f>
        <v>0</v>
      </c>
      <c r="L20" s="7">
        <f>arabinose!D10</f>
        <v>0</v>
      </c>
      <c r="M20" s="7">
        <v>0</v>
      </c>
      <c r="N20" s="7">
        <v>0</v>
      </c>
      <c r="O20" s="7">
        <v>0</v>
      </c>
      <c r="P20" s="8">
        <v>0</v>
      </c>
      <c r="Q20" s="8">
        <v>0</v>
      </c>
      <c r="R20" s="8">
        <v>0</v>
      </c>
      <c r="S20" s="8">
        <v>0</v>
      </c>
      <c r="T20" s="11"/>
    </row>
    <row r="21" spans="1:20" x14ac:dyDescent="0.3">
      <c r="C21" s="7" t="s">
        <v>82</v>
      </c>
      <c r="D21" s="7">
        <f>water!D11</f>
        <v>0</v>
      </c>
      <c r="E21" s="7">
        <f>glucose!D11</f>
        <v>0</v>
      </c>
      <c r="F21" s="7">
        <f>sucrose!D11</f>
        <v>0</v>
      </c>
      <c r="G21" s="7">
        <f>'milk choc'!D11</f>
        <v>0</v>
      </c>
      <c r="H21" s="13">
        <f>'milk chocolate arabinose'!D11</f>
        <v>0</v>
      </c>
      <c r="I21" s="7">
        <f>'gastic milk choc'!D11</f>
        <v>0</v>
      </c>
      <c r="J21" s="7">
        <f>'gastic milk choc arab'!D11</f>
        <v>0</v>
      </c>
      <c r="K21" s="7">
        <f>emulsie!D11</f>
        <v>0</v>
      </c>
      <c r="L21" s="7">
        <f>arabinose!D11</f>
        <v>0</v>
      </c>
      <c r="M21" s="7">
        <v>0</v>
      </c>
      <c r="N21" s="7">
        <v>0</v>
      </c>
      <c r="O21" s="7">
        <v>0</v>
      </c>
      <c r="P21" s="8">
        <v>0</v>
      </c>
      <c r="Q21" s="8">
        <v>0</v>
      </c>
      <c r="R21" s="8">
        <v>0</v>
      </c>
      <c r="S21" s="8">
        <v>0</v>
      </c>
      <c r="T21" s="11"/>
    </row>
    <row r="22" spans="1:20" x14ac:dyDescent="0.3">
      <c r="A22" s="7" t="s">
        <v>35</v>
      </c>
      <c r="C22" s="7" t="s">
        <v>27</v>
      </c>
      <c r="D22" s="7">
        <v>0.1</v>
      </c>
      <c r="E22" s="7">
        <v>0.1</v>
      </c>
      <c r="F22" s="7">
        <v>0.1</v>
      </c>
      <c r="G22" s="7">
        <v>5</v>
      </c>
      <c r="H22" s="13">
        <v>5</v>
      </c>
      <c r="I22" s="7">
        <v>50</v>
      </c>
      <c r="J22" s="7">
        <v>50</v>
      </c>
      <c r="K22" s="7">
        <f>emulsie!D12</f>
        <v>1</v>
      </c>
      <c r="L22" s="7">
        <v>0.1</v>
      </c>
      <c r="M22" s="7">
        <v>10</v>
      </c>
      <c r="N22" s="7">
        <v>50</v>
      </c>
      <c r="O22" s="7">
        <v>1</v>
      </c>
      <c r="P22" s="8">
        <v>10</v>
      </c>
      <c r="Q22" s="8">
        <v>100</v>
      </c>
      <c r="R22" s="8">
        <v>0.1</v>
      </c>
      <c r="S22" s="8">
        <v>0.1</v>
      </c>
    </row>
    <row r="23" spans="1:20" x14ac:dyDescent="0.3">
      <c r="C23" s="7" t="s">
        <v>80</v>
      </c>
      <c r="D23" s="7">
        <f>water!D13</f>
        <v>0</v>
      </c>
      <c r="E23" s="7">
        <f>glucose!D13</f>
        <v>0</v>
      </c>
      <c r="F23" s="7">
        <f>sucrose!D13</f>
        <v>0</v>
      </c>
      <c r="G23" s="7">
        <f>'milk choc'!D13</f>
        <v>6</v>
      </c>
      <c r="H23" s="13">
        <v>7</v>
      </c>
      <c r="I23" s="7">
        <f>'gastic milk choc'!D13</f>
        <v>0</v>
      </c>
      <c r="J23" s="7">
        <f>'gastic milk choc arab'!D13</f>
        <v>0</v>
      </c>
      <c r="K23" s="7">
        <f>emulsie!D13</f>
        <v>0</v>
      </c>
      <c r="L23" s="7">
        <f>arabinose!D13</f>
        <v>0</v>
      </c>
      <c r="M23" s="7">
        <v>0</v>
      </c>
      <c r="N23" s="7">
        <v>0</v>
      </c>
      <c r="O23" s="7">
        <v>0</v>
      </c>
      <c r="P23" s="8">
        <v>10</v>
      </c>
      <c r="Q23" s="8">
        <v>11</v>
      </c>
      <c r="R23" s="8">
        <v>0</v>
      </c>
      <c r="S23" s="8">
        <v>0</v>
      </c>
      <c r="T23" s="11"/>
    </row>
    <row r="24" spans="1:20" x14ac:dyDescent="0.3">
      <c r="C24" s="7" t="s">
        <v>82</v>
      </c>
      <c r="D24" s="7">
        <f>water!D14</f>
        <v>0</v>
      </c>
      <c r="E24" s="7">
        <f>glucose!D14</f>
        <v>0</v>
      </c>
      <c r="F24" s="7">
        <f>sucrose!D14</f>
        <v>0</v>
      </c>
      <c r="G24" s="7">
        <v>100</v>
      </c>
      <c r="H24" s="13">
        <v>100</v>
      </c>
      <c r="I24" s="7">
        <f>'gastic milk choc'!D14</f>
        <v>0</v>
      </c>
      <c r="J24" s="7">
        <f>'gastic milk choc arab'!D14</f>
        <v>0</v>
      </c>
      <c r="K24" s="7">
        <f>emulsie!D14</f>
        <v>0</v>
      </c>
      <c r="L24" s="7">
        <f>arabinose!D14</f>
        <v>0</v>
      </c>
      <c r="M24" s="7">
        <v>0</v>
      </c>
      <c r="N24" s="7">
        <v>0</v>
      </c>
      <c r="O24" s="7">
        <v>0</v>
      </c>
      <c r="P24" s="8">
        <v>50</v>
      </c>
      <c r="Q24" s="8">
        <v>100</v>
      </c>
      <c r="R24" s="8">
        <v>0</v>
      </c>
      <c r="S24" s="8">
        <v>0</v>
      </c>
      <c r="T24" s="11"/>
    </row>
    <row r="25" spans="1:20" x14ac:dyDescent="0.3">
      <c r="C25" s="7" t="s">
        <v>81</v>
      </c>
      <c r="D25" s="7">
        <f>water!D15</f>
        <v>0</v>
      </c>
      <c r="E25" s="7">
        <f>glucose!D15</f>
        <v>0</v>
      </c>
      <c r="F25" s="7">
        <f>sucrose!D15</f>
        <v>0</v>
      </c>
      <c r="G25" s="7">
        <f>'milk choc'!D15</f>
        <v>0</v>
      </c>
      <c r="H25" s="13">
        <f>'milk chocolate arabinose'!D15</f>
        <v>0</v>
      </c>
      <c r="I25" s="7">
        <f>'gastic milk choc'!D15</f>
        <v>0</v>
      </c>
      <c r="J25" s="7">
        <f>'gastic milk choc arab'!D15</f>
        <v>0</v>
      </c>
      <c r="K25" s="7">
        <f>emulsie!D15</f>
        <v>0</v>
      </c>
      <c r="L25" s="7">
        <f>arabinose!D15</f>
        <v>0</v>
      </c>
      <c r="M25" s="7">
        <v>0</v>
      </c>
      <c r="N25" s="7">
        <v>0</v>
      </c>
      <c r="O25" s="7">
        <v>0</v>
      </c>
      <c r="P25" s="8">
        <v>0</v>
      </c>
      <c r="Q25" s="8">
        <v>0</v>
      </c>
      <c r="R25" s="8">
        <v>0</v>
      </c>
      <c r="S25" s="8">
        <v>0</v>
      </c>
      <c r="T25" s="11"/>
    </row>
    <row r="26" spans="1:20" x14ac:dyDescent="0.3">
      <c r="C26" s="7" t="s">
        <v>82</v>
      </c>
      <c r="D26" s="7">
        <f>water!D16</f>
        <v>0</v>
      </c>
      <c r="E26" s="7">
        <f>glucose!D16</f>
        <v>0</v>
      </c>
      <c r="F26" s="7">
        <f>sucrose!D16</f>
        <v>0</v>
      </c>
      <c r="G26" s="7">
        <f>'milk choc'!D16</f>
        <v>0</v>
      </c>
      <c r="H26" s="13">
        <f>'milk chocolate arabinose'!D16</f>
        <v>0</v>
      </c>
      <c r="I26" s="7">
        <f>'gastic milk choc'!D16</f>
        <v>0</v>
      </c>
      <c r="J26" s="7">
        <f>'gastic milk choc arab'!D16</f>
        <v>0</v>
      </c>
      <c r="K26" s="7">
        <f>emulsie!D16</f>
        <v>0</v>
      </c>
      <c r="L26" s="7">
        <f>arabinose!D16</f>
        <v>0</v>
      </c>
      <c r="M26" s="7">
        <v>0</v>
      </c>
      <c r="N26" s="7">
        <v>0</v>
      </c>
      <c r="O26" s="7">
        <v>0</v>
      </c>
      <c r="P26" s="8">
        <v>0</v>
      </c>
      <c r="Q26" s="8">
        <v>0</v>
      </c>
      <c r="R26" s="8">
        <v>0</v>
      </c>
      <c r="S26" s="8">
        <v>0</v>
      </c>
      <c r="T26" s="11"/>
    </row>
    <row r="27" spans="1:20" x14ac:dyDescent="0.3">
      <c r="A27" s="7" t="s">
        <v>92</v>
      </c>
      <c r="C27" s="7" t="s">
        <v>27</v>
      </c>
      <c r="D27" s="7">
        <v>0.1</v>
      </c>
      <c r="E27" s="7">
        <v>0.1</v>
      </c>
      <c r="F27" s="7">
        <v>0.1</v>
      </c>
      <c r="G27" s="7">
        <v>1</v>
      </c>
      <c r="H27" s="13">
        <v>1</v>
      </c>
      <c r="I27" s="7">
        <v>1</v>
      </c>
      <c r="J27" s="7">
        <v>1</v>
      </c>
      <c r="K27" s="7">
        <f>emulsie!D17</f>
        <v>1</v>
      </c>
      <c r="L27" s="7">
        <v>0.1</v>
      </c>
      <c r="M27" s="7">
        <v>2</v>
      </c>
      <c r="N27" s="7">
        <v>10</v>
      </c>
      <c r="O27" s="7">
        <v>1</v>
      </c>
      <c r="P27" s="8">
        <v>10</v>
      </c>
      <c r="Q27" s="8">
        <v>100</v>
      </c>
      <c r="R27" s="8">
        <v>0.1</v>
      </c>
      <c r="S27" s="8">
        <v>0.1</v>
      </c>
      <c r="T27" s="11"/>
    </row>
    <row r="28" spans="1:20" x14ac:dyDescent="0.3">
      <c r="C28" s="7" t="s">
        <v>80</v>
      </c>
      <c r="D28" s="7">
        <f>water!D18</f>
        <v>0</v>
      </c>
      <c r="E28" s="7">
        <f>glucose!D18</f>
        <v>0</v>
      </c>
      <c r="F28" s="7">
        <f>sucrose!D18</f>
        <v>0</v>
      </c>
      <c r="G28" s="7">
        <v>6</v>
      </c>
      <c r="H28" s="13">
        <v>7</v>
      </c>
      <c r="I28" s="7">
        <f>'gastic milk choc'!D18</f>
        <v>0</v>
      </c>
      <c r="J28" s="7">
        <f>'gastic milk choc arab'!D18</f>
        <v>0</v>
      </c>
      <c r="K28" s="7">
        <f>emulsie!D18</f>
        <v>0</v>
      </c>
      <c r="L28" s="7">
        <f>arabinose!D18</f>
        <v>0</v>
      </c>
      <c r="M28" s="7">
        <v>0</v>
      </c>
      <c r="N28" s="7">
        <v>0</v>
      </c>
      <c r="O28" s="7">
        <v>0</v>
      </c>
      <c r="P28" s="8">
        <v>10</v>
      </c>
      <c r="Q28" s="8">
        <v>11</v>
      </c>
      <c r="R28" s="8">
        <v>0</v>
      </c>
      <c r="S28" s="8">
        <v>0</v>
      </c>
      <c r="T28" s="11"/>
    </row>
    <row r="29" spans="1:20" x14ac:dyDescent="0.3">
      <c r="C29" s="7" t="s">
        <v>82</v>
      </c>
      <c r="D29" s="7">
        <f>water!D19</f>
        <v>0</v>
      </c>
      <c r="E29" s="7">
        <f>glucose!D19</f>
        <v>0</v>
      </c>
      <c r="F29" s="7">
        <f>sucrose!D19</f>
        <v>0</v>
      </c>
      <c r="G29" s="7">
        <v>100</v>
      </c>
      <c r="H29" s="13">
        <v>100</v>
      </c>
      <c r="I29" s="7">
        <f>'gastic milk choc'!D19</f>
        <v>0</v>
      </c>
      <c r="J29" s="7">
        <f>'gastic milk choc arab'!D19</f>
        <v>0</v>
      </c>
      <c r="K29" s="7">
        <f>emulsie!D19</f>
        <v>0</v>
      </c>
      <c r="L29" s="7">
        <f>arabinose!D19</f>
        <v>0</v>
      </c>
      <c r="M29" s="7">
        <v>0</v>
      </c>
      <c r="N29" s="7">
        <v>0</v>
      </c>
      <c r="O29" s="7">
        <v>0</v>
      </c>
      <c r="P29" s="8">
        <v>50</v>
      </c>
      <c r="Q29" s="8">
        <v>100</v>
      </c>
      <c r="R29" s="8">
        <v>0</v>
      </c>
      <c r="S29" s="8">
        <v>0</v>
      </c>
      <c r="T29" s="11"/>
    </row>
    <row r="30" spans="1:20" x14ac:dyDescent="0.3">
      <c r="C30" s="7" t="s">
        <v>81</v>
      </c>
      <c r="D30" s="7">
        <f>water!D20</f>
        <v>0</v>
      </c>
      <c r="E30" s="7">
        <f>glucose!D20</f>
        <v>0</v>
      </c>
      <c r="F30" s="7">
        <f>sucrose!D20</f>
        <v>0</v>
      </c>
      <c r="G30" s="7">
        <f>'milk choc'!D20</f>
        <v>0</v>
      </c>
      <c r="H30" s="13">
        <f>'milk chocolate arabinose'!D20</f>
        <v>0</v>
      </c>
      <c r="I30" s="7">
        <f>'gastic milk choc'!D20</f>
        <v>0</v>
      </c>
      <c r="J30" s="7">
        <f>'gastic milk choc arab'!D20</f>
        <v>0</v>
      </c>
      <c r="K30" s="7">
        <f>emulsie!D20</f>
        <v>0</v>
      </c>
      <c r="L30" s="7">
        <f>arabinose!D20</f>
        <v>0</v>
      </c>
      <c r="M30" s="7">
        <v>0</v>
      </c>
      <c r="N30" s="7">
        <v>0</v>
      </c>
      <c r="O30" s="7">
        <v>0</v>
      </c>
      <c r="P30" s="8">
        <v>0</v>
      </c>
      <c r="Q30" s="8">
        <v>0</v>
      </c>
      <c r="R30" s="8">
        <v>0</v>
      </c>
      <c r="S30" s="8">
        <v>0</v>
      </c>
      <c r="T30" s="11"/>
    </row>
    <row r="31" spans="1:20" x14ac:dyDescent="0.3">
      <c r="C31" s="7" t="s">
        <v>82</v>
      </c>
      <c r="D31" s="7">
        <f>water!D21</f>
        <v>0</v>
      </c>
      <c r="E31" s="7">
        <f>glucose!D21</f>
        <v>0</v>
      </c>
      <c r="F31" s="7">
        <f>sucrose!D21</f>
        <v>0</v>
      </c>
      <c r="G31" s="7">
        <f>'milk choc'!D21</f>
        <v>0</v>
      </c>
      <c r="H31" s="13">
        <f>'milk chocolate arabinose'!D21</f>
        <v>0</v>
      </c>
      <c r="I31" s="7">
        <f>'gastic milk choc'!D21</f>
        <v>0</v>
      </c>
      <c r="J31" s="7">
        <f>'gastic milk choc arab'!D21</f>
        <v>0</v>
      </c>
      <c r="K31" s="7">
        <f>emulsie!D21</f>
        <v>0</v>
      </c>
      <c r="L31" s="7">
        <f>arabinose!D21</f>
        <v>0</v>
      </c>
      <c r="M31" s="7">
        <v>0</v>
      </c>
      <c r="N31" s="7">
        <v>0</v>
      </c>
      <c r="O31" s="7">
        <v>0</v>
      </c>
      <c r="P31" s="8">
        <v>0</v>
      </c>
      <c r="Q31" s="8">
        <v>0</v>
      </c>
      <c r="R31" s="8">
        <v>0</v>
      </c>
      <c r="S31" s="8">
        <v>0</v>
      </c>
      <c r="T31" s="11"/>
    </row>
    <row r="32" spans="1:20" x14ac:dyDescent="0.3">
      <c r="H32" s="13"/>
    </row>
    <row r="33" spans="1:19" x14ac:dyDescent="0.3">
      <c r="B33" s="8"/>
      <c r="C33" s="8"/>
      <c r="H33" s="13"/>
    </row>
    <row r="34" spans="1:19" x14ac:dyDescent="0.3">
      <c r="B34" s="8" t="s">
        <v>26</v>
      </c>
      <c r="C34" s="8"/>
      <c r="H34" s="13"/>
    </row>
    <row r="35" spans="1:19" x14ac:dyDescent="0.3">
      <c r="A35" s="7">
        <v>1</v>
      </c>
      <c r="B35" s="7" t="s">
        <v>8</v>
      </c>
      <c r="C35" s="7" t="s">
        <v>28</v>
      </c>
      <c r="D35" s="7">
        <f>water!D25</f>
        <v>100</v>
      </c>
      <c r="E35" s="7">
        <f>glucose!D25</f>
        <v>0</v>
      </c>
      <c r="F35" s="7">
        <f>sucrose!D25</f>
        <v>0</v>
      </c>
      <c r="G35" s="7">
        <f>'milk choc'!D25</f>
        <v>0</v>
      </c>
      <c r="H35" s="13">
        <f>'milk chocolate arabinose'!D25</f>
        <v>0</v>
      </c>
      <c r="I35" s="7">
        <f>'gastic milk choc'!D25</f>
        <v>36.94</v>
      </c>
      <c r="J35" s="7">
        <f>'gastic milk choc arab'!D25</f>
        <v>36.94</v>
      </c>
      <c r="K35" s="7">
        <f>emulsie!D25</f>
        <v>50</v>
      </c>
      <c r="L35" s="7">
        <f>arabinose!D25</f>
        <v>0</v>
      </c>
      <c r="M35" s="7">
        <v>0</v>
      </c>
      <c r="N35" s="7">
        <v>0</v>
      </c>
      <c r="O35" s="7">
        <v>0</v>
      </c>
      <c r="P35" s="8">
        <v>14</v>
      </c>
      <c r="Q35" s="8">
        <v>14</v>
      </c>
      <c r="R35" s="8">
        <v>0</v>
      </c>
      <c r="S35" s="8">
        <v>0</v>
      </c>
    </row>
    <row r="36" spans="1:19" x14ac:dyDescent="0.3">
      <c r="A36" s="7">
        <v>2</v>
      </c>
      <c r="B36" s="7" t="s">
        <v>36</v>
      </c>
      <c r="C36" s="7" t="s">
        <v>28</v>
      </c>
      <c r="D36" s="7">
        <f>water!D26</f>
        <v>0</v>
      </c>
      <c r="E36" s="7">
        <f>glucose!D26</f>
        <v>0</v>
      </c>
      <c r="F36" s="7">
        <f>sucrose!D26</f>
        <v>0</v>
      </c>
      <c r="G36" s="7">
        <f>'milk choc'!D26</f>
        <v>32.729999999999997</v>
      </c>
      <c r="H36" s="13">
        <f>'milk chocolate arabinose'!D26</f>
        <v>32.729999999999997</v>
      </c>
      <c r="I36" s="7">
        <f>'gastic milk choc'!D26</f>
        <v>29.13</v>
      </c>
      <c r="J36" s="7">
        <f>'gastic milk choc arab'!D26</f>
        <v>29.13</v>
      </c>
      <c r="K36" s="7">
        <f>emulsie!D26</f>
        <v>50</v>
      </c>
      <c r="L36" s="7">
        <f>arabinose!D26</f>
        <v>0</v>
      </c>
      <c r="M36" s="7">
        <v>0</v>
      </c>
      <c r="N36" s="7">
        <v>0</v>
      </c>
      <c r="O36" s="7">
        <v>0</v>
      </c>
      <c r="P36" s="8">
        <v>0</v>
      </c>
      <c r="Q36" s="8">
        <v>0</v>
      </c>
      <c r="R36" s="8">
        <v>0</v>
      </c>
      <c r="S36" s="8">
        <v>0</v>
      </c>
    </row>
    <row r="37" spans="1:19" x14ac:dyDescent="0.3">
      <c r="A37" s="7">
        <v>3</v>
      </c>
      <c r="B37" s="7" t="s">
        <v>2</v>
      </c>
      <c r="C37" s="7" t="s">
        <v>28</v>
      </c>
      <c r="D37" s="7">
        <f>water!D27</f>
        <v>0</v>
      </c>
      <c r="E37" s="7">
        <v>99</v>
      </c>
      <c r="F37" s="7">
        <f>sucrose!D27</f>
        <v>0</v>
      </c>
      <c r="G37" s="7">
        <f>'milk choc'!D27</f>
        <v>0</v>
      </c>
      <c r="H37" s="13">
        <f>'milk chocolate arabinose'!D27</f>
        <v>0</v>
      </c>
      <c r="I37" s="7">
        <f>'gastic milk choc'!D27</f>
        <v>0</v>
      </c>
      <c r="J37" s="7">
        <f>'gastic milk choc arab'!D27</f>
        <v>0</v>
      </c>
      <c r="K37" s="7">
        <f>emulsie!D27</f>
        <v>0</v>
      </c>
      <c r="L37" s="7">
        <f>arabinose!D27</f>
        <v>0</v>
      </c>
      <c r="M37" s="7">
        <v>0</v>
      </c>
      <c r="N37" s="7">
        <v>0</v>
      </c>
      <c r="O37" s="7">
        <v>0</v>
      </c>
      <c r="P37" s="8">
        <v>0</v>
      </c>
      <c r="Q37" s="8">
        <v>0</v>
      </c>
      <c r="R37" s="8">
        <v>0</v>
      </c>
      <c r="S37" s="8">
        <v>0</v>
      </c>
    </row>
    <row r="38" spans="1:19" x14ac:dyDescent="0.3">
      <c r="A38" s="7">
        <v>4</v>
      </c>
      <c r="B38" s="7" t="s">
        <v>9</v>
      </c>
      <c r="C38" s="7" t="s">
        <v>28</v>
      </c>
      <c r="D38" s="7">
        <f>water!D28</f>
        <v>0</v>
      </c>
      <c r="E38" s="7">
        <f>glucose!D28</f>
        <v>0</v>
      </c>
      <c r="F38" s="7">
        <f>sucrose!D28</f>
        <v>0</v>
      </c>
      <c r="G38" s="7">
        <f>'milk choc'!D28</f>
        <v>1.08</v>
      </c>
      <c r="H38" s="13">
        <f>'milk chocolate arabinose'!D28</f>
        <v>1.08</v>
      </c>
      <c r="I38" s="7">
        <f>'gastic milk choc'!D28</f>
        <v>1.08</v>
      </c>
      <c r="J38" s="7">
        <f>'gastic milk choc arab'!D28</f>
        <v>1.08</v>
      </c>
      <c r="K38" s="7">
        <f>emulsie!D28</f>
        <v>0</v>
      </c>
      <c r="L38" s="7">
        <f>arabinose!D28</f>
        <v>0</v>
      </c>
      <c r="M38" s="7">
        <v>0</v>
      </c>
      <c r="N38" s="7">
        <v>0</v>
      </c>
      <c r="O38" s="7">
        <v>0</v>
      </c>
      <c r="P38" s="8">
        <v>0</v>
      </c>
      <c r="Q38" s="8">
        <v>0</v>
      </c>
      <c r="R38" s="8">
        <v>0</v>
      </c>
      <c r="S38" s="8">
        <v>0</v>
      </c>
    </row>
    <row r="39" spans="1:19" x14ac:dyDescent="0.3">
      <c r="A39" s="7">
        <v>5</v>
      </c>
      <c r="B39" s="7" t="s">
        <v>20</v>
      </c>
      <c r="C39" s="7" t="s">
        <v>28</v>
      </c>
      <c r="D39" s="7">
        <f>water!D29</f>
        <v>0</v>
      </c>
      <c r="E39" s="7">
        <f>glucose!D29</f>
        <v>0</v>
      </c>
      <c r="F39" s="7">
        <f>sucrose!D29</f>
        <v>0</v>
      </c>
      <c r="G39" s="7">
        <f>'milk choc'!D29</f>
        <v>0</v>
      </c>
      <c r="H39" s="13">
        <f>'milk chocolate arabinose'!D29</f>
        <v>0</v>
      </c>
      <c r="I39" s="7">
        <f>'gastic milk choc'!D29</f>
        <v>0</v>
      </c>
      <c r="J39" s="7">
        <f>'gastic milk choc arab'!D29</f>
        <v>0</v>
      </c>
      <c r="K39" s="7">
        <f>emulsie!D29</f>
        <v>0</v>
      </c>
      <c r="L39" s="7">
        <f>arabinose!D29</f>
        <v>0</v>
      </c>
      <c r="M39" s="7">
        <v>0</v>
      </c>
      <c r="N39" s="7">
        <v>0</v>
      </c>
      <c r="O39" s="7">
        <v>0</v>
      </c>
      <c r="P39" s="8">
        <v>0</v>
      </c>
      <c r="Q39" s="8">
        <v>0</v>
      </c>
      <c r="R39" s="8">
        <v>0</v>
      </c>
      <c r="S39" s="8">
        <v>0</v>
      </c>
    </row>
    <row r="40" spans="1:19" x14ac:dyDescent="0.3">
      <c r="A40" s="7">
        <v>6</v>
      </c>
      <c r="B40" s="7" t="s">
        <v>66</v>
      </c>
      <c r="C40" s="7" t="s">
        <v>28</v>
      </c>
      <c r="D40" s="7">
        <f>water!D30</f>
        <v>0</v>
      </c>
      <c r="E40" s="7">
        <f>glucose!D30</f>
        <v>0</v>
      </c>
      <c r="F40" s="7">
        <f>sucrose!D30</f>
        <v>0</v>
      </c>
      <c r="G40" s="7">
        <f>'milk choc'!D30</f>
        <v>0</v>
      </c>
      <c r="H40" s="13">
        <f>'milk chocolate arabinose'!D30</f>
        <v>0</v>
      </c>
      <c r="I40" s="7">
        <f>'gastic milk choc'!D30</f>
        <v>0</v>
      </c>
      <c r="J40" s="7">
        <f>'gastic milk choc arab'!D30</f>
        <v>0</v>
      </c>
      <c r="K40" s="7">
        <f>emulsie!D30</f>
        <v>0</v>
      </c>
      <c r="L40" s="7">
        <f>arabinose!D30</f>
        <v>0</v>
      </c>
      <c r="M40" s="7">
        <v>0</v>
      </c>
      <c r="N40" s="7">
        <v>0</v>
      </c>
      <c r="O40" s="7">
        <v>0</v>
      </c>
      <c r="P40" s="8">
        <v>0</v>
      </c>
      <c r="Q40" s="8">
        <v>0</v>
      </c>
      <c r="R40" s="8">
        <v>0</v>
      </c>
      <c r="S40" s="8">
        <v>0</v>
      </c>
    </row>
    <row r="41" spans="1:19" x14ac:dyDescent="0.3">
      <c r="A41" s="7">
        <v>10</v>
      </c>
      <c r="B41" s="7" t="s">
        <v>15</v>
      </c>
      <c r="C41" s="7" t="s">
        <v>28</v>
      </c>
      <c r="D41" s="7">
        <f>water!D31</f>
        <v>0</v>
      </c>
      <c r="E41" s="7">
        <f>glucose!D31</f>
        <v>0</v>
      </c>
      <c r="F41" s="7">
        <f>sucrose!D31</f>
        <v>0</v>
      </c>
      <c r="G41" s="7">
        <f>'milk choc'!D31</f>
        <v>0</v>
      </c>
      <c r="H41" s="13">
        <f>'milk chocolate arabinose'!D31</f>
        <v>0</v>
      </c>
      <c r="I41" s="7">
        <f>'gastic milk choc'!D31</f>
        <v>0</v>
      </c>
      <c r="J41" s="7">
        <f>'gastic milk choc arab'!D31</f>
        <v>0</v>
      </c>
      <c r="K41" s="7">
        <f>emulsie!D31</f>
        <v>0</v>
      </c>
      <c r="L41" s="7">
        <f>arabinose!D31</f>
        <v>0</v>
      </c>
      <c r="M41" s="7">
        <v>99</v>
      </c>
      <c r="N41" s="7">
        <v>0</v>
      </c>
      <c r="O41" s="7">
        <v>0</v>
      </c>
      <c r="P41" s="8">
        <v>75</v>
      </c>
      <c r="Q41" s="8">
        <v>0</v>
      </c>
      <c r="R41" s="8">
        <v>0</v>
      </c>
      <c r="S41" s="8">
        <v>0</v>
      </c>
    </row>
    <row r="42" spans="1:19" x14ac:dyDescent="0.3">
      <c r="A42" s="7">
        <v>11</v>
      </c>
      <c r="B42" s="7" t="s">
        <v>16</v>
      </c>
      <c r="C42" s="7" t="s">
        <v>28</v>
      </c>
      <c r="D42" s="7">
        <f>water!D32</f>
        <v>0</v>
      </c>
      <c r="E42" s="7">
        <f>glucose!D32</f>
        <v>0</v>
      </c>
      <c r="F42" s="7">
        <f>sucrose!D32</f>
        <v>0</v>
      </c>
      <c r="G42" s="7">
        <f>'milk choc'!D32</f>
        <v>0</v>
      </c>
      <c r="H42" s="13">
        <f>'milk chocolate arabinose'!D32</f>
        <v>0</v>
      </c>
      <c r="I42" s="7">
        <f>'gastic milk choc'!D32</f>
        <v>0</v>
      </c>
      <c r="J42" s="7">
        <f>'gastic milk choc arab'!D32</f>
        <v>0</v>
      </c>
      <c r="K42" s="7">
        <f>emulsie!D32</f>
        <v>0</v>
      </c>
      <c r="L42" s="7">
        <f>arabinose!D32</f>
        <v>0</v>
      </c>
      <c r="M42" s="7">
        <v>0</v>
      </c>
      <c r="N42" s="7">
        <v>99</v>
      </c>
      <c r="O42" s="7">
        <v>0</v>
      </c>
      <c r="P42" s="8">
        <v>0</v>
      </c>
      <c r="Q42" s="8">
        <v>75</v>
      </c>
      <c r="R42" s="8">
        <v>0</v>
      </c>
      <c r="S42" s="8">
        <v>0</v>
      </c>
    </row>
    <row r="43" spans="1:19" x14ac:dyDescent="0.3">
      <c r="A43" s="7">
        <v>12</v>
      </c>
      <c r="B43" s="7" t="s">
        <v>17</v>
      </c>
      <c r="C43" s="7" t="s">
        <v>28</v>
      </c>
      <c r="D43" s="7">
        <f>water!D33</f>
        <v>0</v>
      </c>
      <c r="E43" s="7">
        <f>glucose!D33</f>
        <v>0</v>
      </c>
      <c r="F43" s="7">
        <f>sucrose!D33</f>
        <v>0</v>
      </c>
      <c r="G43" s="7">
        <f>'milk choc'!D33</f>
        <v>6</v>
      </c>
      <c r="H43" s="13">
        <f>'milk chocolate arabinose'!D33</f>
        <v>6</v>
      </c>
      <c r="I43" s="7">
        <f>'gastic milk choc'!D33</f>
        <v>1.78</v>
      </c>
      <c r="J43" s="7">
        <f>'gastic milk choc arab'!D33</f>
        <v>1.78</v>
      </c>
      <c r="K43" s="7">
        <f>emulsie!D33</f>
        <v>0</v>
      </c>
      <c r="L43" s="7">
        <f>arabinose!D33</f>
        <v>0</v>
      </c>
      <c r="M43" s="7">
        <v>0</v>
      </c>
      <c r="N43" s="7">
        <v>0</v>
      </c>
      <c r="O43" s="7">
        <v>99</v>
      </c>
      <c r="P43" s="8">
        <v>0</v>
      </c>
      <c r="Q43" s="8">
        <v>0</v>
      </c>
      <c r="R43" s="8">
        <v>0</v>
      </c>
      <c r="S43" s="8">
        <v>0</v>
      </c>
    </row>
    <row r="44" spans="1:19" x14ac:dyDescent="0.3">
      <c r="A44" s="7">
        <v>20</v>
      </c>
      <c r="B44" s="7" t="s">
        <v>3</v>
      </c>
      <c r="C44" s="7" t="s">
        <v>28</v>
      </c>
      <c r="D44" s="7">
        <f>water!D34</f>
        <v>0</v>
      </c>
      <c r="E44" s="7">
        <f>glucose!D34</f>
        <v>0</v>
      </c>
      <c r="F44" s="7">
        <f>sucrose!D34</f>
        <v>0</v>
      </c>
      <c r="G44" s="7">
        <f>'milk choc'!D34</f>
        <v>0</v>
      </c>
      <c r="H44" s="13">
        <f>'milk chocolate arabinose'!D34</f>
        <v>0</v>
      </c>
      <c r="I44" s="7">
        <f>'gastic milk choc'!D34</f>
        <v>0</v>
      </c>
      <c r="J44" s="7">
        <f>'gastic milk choc arab'!D34</f>
        <v>0</v>
      </c>
      <c r="K44" s="7">
        <f>emulsie!D34</f>
        <v>0</v>
      </c>
      <c r="L44" s="7">
        <f>arabinose!D34</f>
        <v>0</v>
      </c>
      <c r="M44" s="7">
        <v>0</v>
      </c>
      <c r="N44" s="7">
        <v>0</v>
      </c>
      <c r="O44" s="7">
        <v>0</v>
      </c>
      <c r="P44" s="8">
        <v>0</v>
      </c>
      <c r="Q44" s="8">
        <v>0</v>
      </c>
      <c r="R44" s="8">
        <v>0</v>
      </c>
      <c r="S44" s="8">
        <v>0</v>
      </c>
    </row>
    <row r="45" spans="1:19" x14ac:dyDescent="0.3">
      <c r="A45" s="7">
        <v>21</v>
      </c>
      <c r="B45" s="7" t="s">
        <v>4</v>
      </c>
      <c r="C45" s="7" t="s">
        <v>28</v>
      </c>
      <c r="D45" s="7">
        <f>water!D35</f>
        <v>0</v>
      </c>
      <c r="E45" s="7">
        <f>glucose!D35</f>
        <v>0</v>
      </c>
      <c r="F45" s="7">
        <v>98</v>
      </c>
      <c r="G45" s="7">
        <v>40.5</v>
      </c>
      <c r="H45" s="13">
        <v>28.7</v>
      </c>
      <c r="I45" s="7">
        <v>19</v>
      </c>
      <c r="J45" s="7">
        <v>14</v>
      </c>
      <c r="K45" s="7">
        <f>emulsie!D35</f>
        <v>0</v>
      </c>
      <c r="L45" s="7">
        <f>arabinose!D35</f>
        <v>0</v>
      </c>
      <c r="M45" s="7">
        <v>0</v>
      </c>
      <c r="N45" s="7">
        <v>0</v>
      </c>
      <c r="O45" s="7">
        <v>0</v>
      </c>
      <c r="P45" s="8">
        <v>9</v>
      </c>
      <c r="Q45" s="8">
        <v>9</v>
      </c>
      <c r="R45" s="8">
        <v>0</v>
      </c>
      <c r="S45" s="8">
        <v>0</v>
      </c>
    </row>
    <row r="46" spans="1:19" x14ac:dyDescent="0.3">
      <c r="A46" s="7">
        <v>22</v>
      </c>
      <c r="B46" s="7" t="s">
        <v>37</v>
      </c>
      <c r="C46" s="7" t="s">
        <v>28</v>
      </c>
      <c r="D46" s="7">
        <f>water!D36</f>
        <v>0</v>
      </c>
      <c r="E46" s="7">
        <f>glucose!D36</f>
        <v>0</v>
      </c>
      <c r="F46" s="7">
        <f>sucrose!D36</f>
        <v>0</v>
      </c>
      <c r="G46" s="7">
        <f>'milk choc'!D36</f>
        <v>0</v>
      </c>
      <c r="H46" s="13">
        <f>'milk chocolate arabinose'!D36</f>
        <v>0</v>
      </c>
      <c r="I46" s="7">
        <f>'gastic milk choc'!D36</f>
        <v>0</v>
      </c>
      <c r="J46" s="7">
        <f>'gastic milk choc arab'!D36</f>
        <v>0</v>
      </c>
      <c r="K46" s="7">
        <f>emulsie!D36</f>
        <v>0</v>
      </c>
      <c r="L46" s="7">
        <f>arabinose!D36</f>
        <v>0</v>
      </c>
      <c r="M46" s="7">
        <v>0</v>
      </c>
      <c r="N46" s="7">
        <v>0</v>
      </c>
      <c r="O46" s="7">
        <v>0</v>
      </c>
      <c r="P46" s="8">
        <v>0</v>
      </c>
      <c r="Q46" s="8">
        <v>0</v>
      </c>
      <c r="R46" s="8">
        <v>0</v>
      </c>
      <c r="S46" s="8">
        <v>0</v>
      </c>
    </row>
    <row r="47" spans="1:19" x14ac:dyDescent="0.3">
      <c r="A47" s="7">
        <v>23</v>
      </c>
      <c r="B47" s="7" t="s">
        <v>18</v>
      </c>
      <c r="C47" s="7" t="s">
        <v>28</v>
      </c>
      <c r="D47" s="7">
        <f>water!D37</f>
        <v>0</v>
      </c>
      <c r="E47" s="7">
        <f>glucose!D37</f>
        <v>0</v>
      </c>
      <c r="F47" s="7">
        <f>sucrose!D37</f>
        <v>0</v>
      </c>
      <c r="G47" s="7">
        <f>'milk choc'!D37</f>
        <v>0</v>
      </c>
      <c r="H47" s="13">
        <f>'milk chocolate arabinose'!D37</f>
        <v>0</v>
      </c>
      <c r="I47" s="7">
        <f>'gastic milk choc'!D37</f>
        <v>0</v>
      </c>
      <c r="J47" s="7">
        <f>'gastic milk choc arab'!D37</f>
        <v>0</v>
      </c>
      <c r="K47" s="7">
        <f>emulsie!D37</f>
        <v>0</v>
      </c>
      <c r="L47" s="7">
        <f>arabinose!D37</f>
        <v>0</v>
      </c>
      <c r="M47" s="7">
        <v>0</v>
      </c>
      <c r="N47" s="7">
        <v>0</v>
      </c>
      <c r="O47" s="7">
        <v>0</v>
      </c>
      <c r="P47" s="8">
        <v>0</v>
      </c>
      <c r="Q47" s="8">
        <v>0</v>
      </c>
      <c r="R47" s="8">
        <v>0</v>
      </c>
      <c r="S47" s="8">
        <v>0</v>
      </c>
    </row>
    <row r="48" spans="1:19" x14ac:dyDescent="0.3">
      <c r="A48" s="7">
        <v>24</v>
      </c>
      <c r="B48" s="7" t="s">
        <v>100</v>
      </c>
      <c r="C48" s="7" t="s">
        <v>28</v>
      </c>
      <c r="D48" s="7">
        <v>0</v>
      </c>
      <c r="E48" s="7">
        <v>0</v>
      </c>
      <c r="F48" s="7">
        <v>0</v>
      </c>
      <c r="G48" s="7">
        <v>0</v>
      </c>
      <c r="H48" s="13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8">
        <v>0</v>
      </c>
      <c r="Q48" s="8">
        <v>0</v>
      </c>
      <c r="R48" s="8">
        <v>0</v>
      </c>
      <c r="S48" s="8">
        <v>0</v>
      </c>
    </row>
    <row r="49" spans="1:19" x14ac:dyDescent="0.3">
      <c r="A49" s="7">
        <v>25</v>
      </c>
      <c r="B49" s="7" t="s">
        <v>38</v>
      </c>
      <c r="C49" s="7" t="s">
        <v>28</v>
      </c>
      <c r="D49" s="7">
        <f>water!D38</f>
        <v>0</v>
      </c>
      <c r="E49" s="7">
        <f>glucose!D38</f>
        <v>0</v>
      </c>
      <c r="F49" s="7">
        <f>sucrose!D38</f>
        <v>0</v>
      </c>
      <c r="G49" s="7">
        <f>'milk choc'!D38</f>
        <v>0</v>
      </c>
      <c r="H49" s="13">
        <f>'milk chocolate arabinose'!D38</f>
        <v>11.9</v>
      </c>
      <c r="I49" s="7">
        <f>'gastic milk choc'!D38</f>
        <v>0</v>
      </c>
      <c r="J49" s="7">
        <f>'gastic milk choc arab'!D38</f>
        <v>5</v>
      </c>
      <c r="K49" s="7">
        <f>emulsie!D38</f>
        <v>0</v>
      </c>
      <c r="L49" s="7">
        <f>arabinose!D38</f>
        <v>100</v>
      </c>
      <c r="M49" s="7">
        <v>0</v>
      </c>
      <c r="N49" s="7">
        <v>0</v>
      </c>
      <c r="O49" s="7">
        <v>0</v>
      </c>
      <c r="P49" s="8">
        <v>0</v>
      </c>
      <c r="Q49" s="8">
        <v>0</v>
      </c>
      <c r="R49" s="8">
        <v>0</v>
      </c>
      <c r="S49" s="8">
        <v>0</v>
      </c>
    </row>
    <row r="50" spans="1:19" x14ac:dyDescent="0.3">
      <c r="A50" s="7">
        <v>26</v>
      </c>
      <c r="B50" s="7" t="s">
        <v>19</v>
      </c>
      <c r="C50" s="7" t="s">
        <v>28</v>
      </c>
      <c r="D50" s="7">
        <f>water!D39</f>
        <v>0</v>
      </c>
      <c r="E50" s="7">
        <f>glucose!D39</f>
        <v>0</v>
      </c>
      <c r="F50" s="7">
        <f>sucrose!D39</f>
        <v>0</v>
      </c>
      <c r="G50" s="7">
        <f>'milk choc'!D39</f>
        <v>0</v>
      </c>
      <c r="H50" s="13">
        <f>'milk chocolate arabinose'!D39</f>
        <v>0</v>
      </c>
      <c r="I50" s="7">
        <f>'gastic milk choc'!D39</f>
        <v>0</v>
      </c>
      <c r="J50" s="7">
        <f>'gastic milk choc arab'!D39</f>
        <v>0</v>
      </c>
      <c r="K50" s="7">
        <f>emulsie!D39</f>
        <v>0</v>
      </c>
      <c r="L50" s="7">
        <f>arabinose!D39</f>
        <v>0</v>
      </c>
      <c r="M50" s="7">
        <v>0</v>
      </c>
      <c r="N50" s="7">
        <v>0</v>
      </c>
      <c r="O50" s="7">
        <v>0</v>
      </c>
      <c r="P50" s="8">
        <v>0</v>
      </c>
      <c r="Q50" s="8">
        <v>0</v>
      </c>
      <c r="R50" s="8">
        <v>0</v>
      </c>
      <c r="S50" s="8">
        <v>0</v>
      </c>
    </row>
    <row r="51" spans="1:19" x14ac:dyDescent="0.3">
      <c r="A51" s="7">
        <v>27</v>
      </c>
      <c r="B51" s="7" t="s">
        <v>39</v>
      </c>
      <c r="C51" s="7" t="s">
        <v>28</v>
      </c>
      <c r="D51" s="7">
        <f>water!D40</f>
        <v>0</v>
      </c>
      <c r="E51" s="7">
        <f>glucose!D40</f>
        <v>0</v>
      </c>
      <c r="F51" s="7">
        <f>sucrose!D40</f>
        <v>0</v>
      </c>
      <c r="G51" s="7">
        <f>'milk choc'!D40</f>
        <v>0</v>
      </c>
      <c r="H51" s="13">
        <f>'milk chocolate arabinose'!D40</f>
        <v>0</v>
      </c>
      <c r="I51" s="7">
        <f>'gastic milk choc'!D40</f>
        <v>0</v>
      </c>
      <c r="J51" s="7">
        <f>'gastic milk choc arab'!D40</f>
        <v>0</v>
      </c>
      <c r="K51" s="7">
        <f>emulsie!D40</f>
        <v>0</v>
      </c>
      <c r="L51" s="7">
        <f>arabinose!D40</f>
        <v>0</v>
      </c>
      <c r="M51" s="7">
        <v>0</v>
      </c>
      <c r="N51" s="7">
        <v>0</v>
      </c>
      <c r="O51" s="7">
        <v>0</v>
      </c>
      <c r="P51" s="8">
        <v>0</v>
      </c>
      <c r="Q51" s="8">
        <v>0</v>
      </c>
      <c r="R51" s="8">
        <v>0</v>
      </c>
      <c r="S51" s="8">
        <v>0</v>
      </c>
    </row>
    <row r="52" spans="1:19" x14ac:dyDescent="0.3">
      <c r="A52" s="7">
        <v>34</v>
      </c>
      <c r="B52" s="7" t="s">
        <v>101</v>
      </c>
      <c r="C52" s="7" t="s">
        <v>28</v>
      </c>
      <c r="D52" s="7">
        <f>[1]water!D42</f>
        <v>0</v>
      </c>
      <c r="E52" s="7">
        <v>1</v>
      </c>
      <c r="F52" s="7">
        <v>0</v>
      </c>
      <c r="G52" s="7">
        <f>'[1]milk choc'!D42</f>
        <v>0</v>
      </c>
      <c r="H52" s="13">
        <f>'[1]milk chocolate arabinose'!D42</f>
        <v>0</v>
      </c>
      <c r="I52" s="7">
        <f>'[1]gastic milk choc'!D42</f>
        <v>0</v>
      </c>
      <c r="J52" s="7">
        <f>'[1]gastic milk choc arab'!D42</f>
        <v>0</v>
      </c>
      <c r="K52" s="7">
        <f>[1]emulsie!D42</f>
        <v>0</v>
      </c>
      <c r="L52" s="7">
        <f>[1]arabinose!D42</f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8">
        <v>0</v>
      </c>
      <c r="S52" s="8">
        <v>0</v>
      </c>
    </row>
    <row r="53" spans="1:19" x14ac:dyDescent="0.3">
      <c r="A53" s="7">
        <v>35</v>
      </c>
      <c r="B53" s="7" t="s">
        <v>102</v>
      </c>
      <c r="C53" s="7" t="s">
        <v>28</v>
      </c>
      <c r="D53" s="7">
        <f>[1]water!D43</f>
        <v>0</v>
      </c>
      <c r="E53" s="7">
        <v>0</v>
      </c>
      <c r="F53" s="7">
        <v>0</v>
      </c>
      <c r="G53" s="7">
        <f>'[1]milk choc'!D43</f>
        <v>0</v>
      </c>
      <c r="H53" s="13">
        <f>'[1]milk chocolate arabinose'!D43</f>
        <v>0</v>
      </c>
      <c r="I53" s="7">
        <f>'[1]gastic milk choc'!D43</f>
        <v>0</v>
      </c>
      <c r="J53" s="7">
        <f>'[1]gastic milk choc arab'!D43</f>
        <v>0</v>
      </c>
      <c r="K53" s="7">
        <f>[1]emulsie!D43</f>
        <v>0</v>
      </c>
      <c r="L53" s="7">
        <f>[1]arabinose!D43</f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8">
        <v>0</v>
      </c>
      <c r="S53" s="8">
        <v>0</v>
      </c>
    </row>
    <row r="54" spans="1:19" x14ac:dyDescent="0.3">
      <c r="A54" s="7">
        <v>36</v>
      </c>
      <c r="B54" s="7" t="s">
        <v>103</v>
      </c>
      <c r="C54" s="7" t="s">
        <v>28</v>
      </c>
      <c r="D54" s="7">
        <f>[1]water!D44</f>
        <v>0</v>
      </c>
      <c r="E54" s="7">
        <f>[1]glucose!D44</f>
        <v>0</v>
      </c>
      <c r="F54" s="7">
        <v>2</v>
      </c>
      <c r="G54" s="7">
        <v>1</v>
      </c>
      <c r="H54" s="13">
        <v>1</v>
      </c>
      <c r="I54" s="7">
        <v>1</v>
      </c>
      <c r="J54" s="7">
        <v>1</v>
      </c>
      <c r="K54" s="7">
        <f>[1]emulsie!D44</f>
        <v>0</v>
      </c>
      <c r="L54" s="7">
        <f>[1]arabinose!D44</f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8">
        <v>0</v>
      </c>
      <c r="S54" s="8">
        <v>0</v>
      </c>
    </row>
    <row r="55" spans="1:19" x14ac:dyDescent="0.3">
      <c r="A55" s="7">
        <v>40</v>
      </c>
      <c r="B55" s="7" t="s">
        <v>52</v>
      </c>
      <c r="C55" s="7" t="s">
        <v>28</v>
      </c>
      <c r="D55" s="7">
        <f>water!D41</f>
        <v>0</v>
      </c>
      <c r="E55" s="7">
        <f>glucose!D41</f>
        <v>0</v>
      </c>
      <c r="F55" s="7">
        <f>sucrose!D41</f>
        <v>0</v>
      </c>
      <c r="G55" s="7">
        <f>'milk choc'!D41</f>
        <v>0</v>
      </c>
      <c r="H55" s="13">
        <f>'milk chocolate arabinose'!D41</f>
        <v>0</v>
      </c>
      <c r="I55" s="7">
        <f>'gastic milk choc'!D41</f>
        <v>0</v>
      </c>
      <c r="J55" s="7">
        <f>'gastic milk choc arab'!D41</f>
        <v>0</v>
      </c>
      <c r="K55" s="7">
        <f>emulsie!D41</f>
        <v>0</v>
      </c>
      <c r="L55" s="7">
        <f>arabinose!D41</f>
        <v>0</v>
      </c>
      <c r="M55" s="7">
        <v>0</v>
      </c>
      <c r="N55" s="7">
        <v>0</v>
      </c>
      <c r="O55" s="7">
        <v>0</v>
      </c>
      <c r="P55" s="8">
        <v>0</v>
      </c>
      <c r="Q55" s="8">
        <v>0</v>
      </c>
      <c r="R55" s="8">
        <v>0</v>
      </c>
      <c r="S55" s="8">
        <v>0</v>
      </c>
    </row>
    <row r="56" spans="1:19" x14ac:dyDescent="0.3">
      <c r="A56" s="7">
        <v>41</v>
      </c>
      <c r="B56" s="7" t="s">
        <v>53</v>
      </c>
      <c r="C56" s="7" t="s">
        <v>28</v>
      </c>
      <c r="D56" s="7">
        <f>water!D42</f>
        <v>0</v>
      </c>
      <c r="E56" s="7">
        <f>glucose!D42</f>
        <v>0</v>
      </c>
      <c r="F56" s="7">
        <f>sucrose!D42</f>
        <v>0</v>
      </c>
      <c r="G56" s="7">
        <f>'milk choc'!D42</f>
        <v>0</v>
      </c>
      <c r="H56" s="13">
        <f>'milk chocolate arabinose'!D42</f>
        <v>0</v>
      </c>
      <c r="I56" s="7">
        <f>'gastic milk choc'!D42</f>
        <v>0</v>
      </c>
      <c r="J56" s="7">
        <f>'gastic milk choc arab'!D42</f>
        <v>0</v>
      </c>
      <c r="K56" s="7">
        <f>emulsie!D42</f>
        <v>0</v>
      </c>
      <c r="L56" s="7">
        <f>arabinose!D42</f>
        <v>0</v>
      </c>
      <c r="M56" s="7">
        <v>0</v>
      </c>
      <c r="N56" s="7">
        <v>0</v>
      </c>
      <c r="O56" s="7">
        <v>0</v>
      </c>
      <c r="P56" s="8">
        <v>0</v>
      </c>
      <c r="Q56" s="8">
        <v>0</v>
      </c>
      <c r="R56" s="8">
        <v>0</v>
      </c>
      <c r="S56" s="8">
        <v>0</v>
      </c>
    </row>
    <row r="57" spans="1:19" x14ac:dyDescent="0.3">
      <c r="A57" s="7">
        <v>50</v>
      </c>
      <c r="B57" s="7" t="s">
        <v>54</v>
      </c>
      <c r="C57" s="7" t="s">
        <v>28</v>
      </c>
      <c r="D57" s="7">
        <f>water!D43</f>
        <v>0</v>
      </c>
      <c r="E57" s="7">
        <f>glucose!D43</f>
        <v>0</v>
      </c>
      <c r="F57" s="7">
        <f>sucrose!D43</f>
        <v>0</v>
      </c>
      <c r="G57" s="7">
        <f>'milk choc'!D43</f>
        <v>0</v>
      </c>
      <c r="H57" s="13">
        <f>'milk chocolate arabinose'!D43</f>
        <v>0</v>
      </c>
      <c r="I57" s="7">
        <f>'gastic milk choc'!D43</f>
        <v>0</v>
      </c>
      <c r="J57" s="7">
        <f>'gastic milk choc arab'!D43</f>
        <v>0</v>
      </c>
      <c r="K57" s="7">
        <f>emulsie!D43</f>
        <v>0</v>
      </c>
      <c r="L57" s="7">
        <f>arabinose!D43</f>
        <v>0</v>
      </c>
      <c r="M57" s="7">
        <v>0</v>
      </c>
      <c r="N57" s="7">
        <v>0</v>
      </c>
      <c r="O57" s="7">
        <v>0</v>
      </c>
      <c r="P57" s="8">
        <v>0</v>
      </c>
      <c r="Q57" s="8">
        <v>0</v>
      </c>
      <c r="R57" s="8">
        <v>0</v>
      </c>
      <c r="S57" s="8">
        <v>0</v>
      </c>
    </row>
    <row r="58" spans="1:19" x14ac:dyDescent="0.3">
      <c r="A58" s="7">
        <v>51</v>
      </c>
      <c r="B58" s="7" t="s">
        <v>55</v>
      </c>
      <c r="C58" s="7" t="s">
        <v>28</v>
      </c>
      <c r="D58" s="7">
        <f>water!D44</f>
        <v>0</v>
      </c>
      <c r="E58" s="7">
        <f>glucose!D44</f>
        <v>0</v>
      </c>
      <c r="F58" s="7">
        <f>sucrose!D44</f>
        <v>0</v>
      </c>
      <c r="G58" s="7">
        <f>'milk choc'!D44</f>
        <v>0</v>
      </c>
      <c r="H58" s="13">
        <f>'milk chocolate arabinose'!D44</f>
        <v>0</v>
      </c>
      <c r="I58" s="7">
        <f>'gastic milk choc'!D44</f>
        <v>0</v>
      </c>
      <c r="J58" s="7">
        <f>'gastic milk choc arab'!D44</f>
        <v>0</v>
      </c>
      <c r="K58" s="7">
        <f>emulsie!D44</f>
        <v>0</v>
      </c>
      <c r="L58" s="7">
        <f>arabinose!D44</f>
        <v>0</v>
      </c>
      <c r="M58" s="7">
        <v>0</v>
      </c>
      <c r="N58" s="7">
        <v>0</v>
      </c>
      <c r="O58" s="7">
        <v>0</v>
      </c>
      <c r="P58" s="8">
        <v>0</v>
      </c>
      <c r="Q58" s="8">
        <v>0</v>
      </c>
      <c r="R58" s="8">
        <v>0</v>
      </c>
      <c r="S58" s="8">
        <v>0</v>
      </c>
    </row>
    <row r="59" spans="1:19" x14ac:dyDescent="0.3">
      <c r="A59" s="7">
        <v>52</v>
      </c>
      <c r="B59" s="7" t="s">
        <v>56</v>
      </c>
      <c r="C59" s="7" t="s">
        <v>28</v>
      </c>
      <c r="D59" s="7">
        <f>water!D45</f>
        <v>0</v>
      </c>
      <c r="E59" s="7">
        <f>glucose!D45</f>
        <v>0</v>
      </c>
      <c r="F59" s="7">
        <f>sucrose!D45</f>
        <v>0</v>
      </c>
      <c r="G59" s="7">
        <f>'milk choc'!D45</f>
        <v>0</v>
      </c>
      <c r="H59" s="13">
        <f>'milk chocolate arabinose'!D45</f>
        <v>0</v>
      </c>
      <c r="I59" s="7">
        <f>'gastic milk choc'!D45</f>
        <v>0</v>
      </c>
      <c r="J59" s="7">
        <f>'gastic milk choc arab'!D45</f>
        <v>0</v>
      </c>
      <c r="K59" s="7">
        <f>emulsie!D45</f>
        <v>0</v>
      </c>
      <c r="L59" s="7">
        <f>arabinose!D45</f>
        <v>0</v>
      </c>
      <c r="M59" s="7">
        <v>0</v>
      </c>
      <c r="N59" s="7">
        <v>0</v>
      </c>
      <c r="O59" s="7">
        <v>0</v>
      </c>
      <c r="P59" s="8">
        <v>0</v>
      </c>
      <c r="Q59" s="8">
        <v>0</v>
      </c>
      <c r="R59" s="8">
        <v>0</v>
      </c>
      <c r="S59" s="8">
        <v>0</v>
      </c>
    </row>
    <row r="60" spans="1:19" x14ac:dyDescent="0.3">
      <c r="A60" s="7">
        <v>53</v>
      </c>
      <c r="B60" s="7" t="s">
        <v>57</v>
      </c>
      <c r="C60" s="7" t="s">
        <v>28</v>
      </c>
      <c r="D60" s="7">
        <f>water!D46</f>
        <v>0</v>
      </c>
      <c r="E60" s="7">
        <f>glucose!D46</f>
        <v>0</v>
      </c>
      <c r="F60" s="7">
        <f>sucrose!D46</f>
        <v>0</v>
      </c>
      <c r="G60" s="7">
        <f>'milk choc'!D46</f>
        <v>0</v>
      </c>
      <c r="H60" s="13">
        <f>'milk chocolate arabinose'!D46</f>
        <v>0</v>
      </c>
      <c r="I60" s="7">
        <f>'gastic milk choc'!D46</f>
        <v>0</v>
      </c>
      <c r="J60" s="7">
        <f>'gastic milk choc arab'!D46</f>
        <v>0</v>
      </c>
      <c r="K60" s="7">
        <f>emulsie!D46</f>
        <v>0</v>
      </c>
      <c r="L60" s="7">
        <f>arabinose!D46</f>
        <v>0</v>
      </c>
      <c r="M60" s="7">
        <v>0</v>
      </c>
      <c r="N60" s="7">
        <v>0</v>
      </c>
      <c r="O60" s="7">
        <v>0</v>
      </c>
      <c r="P60" s="8">
        <v>0</v>
      </c>
      <c r="Q60" s="8">
        <v>0</v>
      </c>
      <c r="R60" s="8">
        <v>0</v>
      </c>
      <c r="S60" s="8">
        <v>0</v>
      </c>
    </row>
    <row r="61" spans="1:19" x14ac:dyDescent="0.3">
      <c r="A61" s="7">
        <v>54</v>
      </c>
      <c r="B61" s="7" t="s">
        <v>58</v>
      </c>
      <c r="C61" s="7" t="s">
        <v>28</v>
      </c>
      <c r="D61" s="7">
        <f>water!D47</f>
        <v>0</v>
      </c>
      <c r="E61" s="7">
        <f>glucose!D47</f>
        <v>0</v>
      </c>
      <c r="F61" s="7">
        <f>sucrose!D47</f>
        <v>0</v>
      </c>
      <c r="G61" s="7">
        <f>'milk choc'!D47</f>
        <v>0</v>
      </c>
      <c r="H61" s="13">
        <f>'milk chocolate arabinose'!D47</f>
        <v>0</v>
      </c>
      <c r="I61" s="7">
        <f>'gastic milk choc'!D47</f>
        <v>0</v>
      </c>
      <c r="J61" s="7">
        <f>'gastic milk choc arab'!D47</f>
        <v>0</v>
      </c>
      <c r="K61" s="7">
        <f>emulsie!D47</f>
        <v>0</v>
      </c>
      <c r="L61" s="7">
        <f>arabinose!D47</f>
        <v>0</v>
      </c>
      <c r="M61" s="7">
        <v>0</v>
      </c>
      <c r="N61" s="7">
        <v>0</v>
      </c>
      <c r="O61" s="7">
        <v>0</v>
      </c>
      <c r="P61" s="8">
        <v>0</v>
      </c>
      <c r="Q61" s="8">
        <v>0</v>
      </c>
      <c r="R61" s="8">
        <v>0</v>
      </c>
      <c r="S61" s="8">
        <v>0</v>
      </c>
    </row>
    <row r="62" spans="1:19" x14ac:dyDescent="0.3">
      <c r="A62" s="7">
        <v>55</v>
      </c>
      <c r="B62" s="7" t="s">
        <v>62</v>
      </c>
      <c r="C62" s="7" t="s">
        <v>28</v>
      </c>
      <c r="D62" s="7">
        <f>water!D48</f>
        <v>0</v>
      </c>
      <c r="E62" s="7">
        <f>glucose!D48</f>
        <v>0</v>
      </c>
      <c r="F62" s="7">
        <f>sucrose!D48</f>
        <v>0</v>
      </c>
      <c r="G62" s="7">
        <f>'milk choc'!D48</f>
        <v>0</v>
      </c>
      <c r="H62" s="13">
        <f>'milk chocolate arabinose'!D48</f>
        <v>0</v>
      </c>
      <c r="I62" s="7">
        <f>'gastic milk choc'!D48</f>
        <v>0</v>
      </c>
      <c r="J62" s="7">
        <f>'gastic milk choc arab'!D48</f>
        <v>0</v>
      </c>
      <c r="K62" s="7">
        <f>emulsie!D48</f>
        <v>0</v>
      </c>
      <c r="L62" s="7">
        <f>arabinose!D48</f>
        <v>0</v>
      </c>
      <c r="M62" s="7">
        <v>0</v>
      </c>
      <c r="N62" s="7">
        <v>0</v>
      </c>
      <c r="O62" s="7">
        <v>0</v>
      </c>
      <c r="P62" s="8">
        <v>0</v>
      </c>
      <c r="Q62" s="8">
        <v>0</v>
      </c>
      <c r="R62" s="8">
        <v>0</v>
      </c>
      <c r="S62" s="8">
        <v>0</v>
      </c>
    </row>
    <row r="63" spans="1:19" x14ac:dyDescent="0.3">
      <c r="A63" s="7">
        <v>56</v>
      </c>
      <c r="B63" s="7" t="s">
        <v>63</v>
      </c>
      <c r="C63" s="7" t="s">
        <v>28</v>
      </c>
      <c r="D63" s="7">
        <f>water!D49</f>
        <v>0</v>
      </c>
      <c r="E63" s="7">
        <f>glucose!D49</f>
        <v>0</v>
      </c>
      <c r="F63" s="7">
        <f>sucrose!D49</f>
        <v>0</v>
      </c>
      <c r="G63" s="7">
        <f>'milk choc'!D49</f>
        <v>0</v>
      </c>
      <c r="H63" s="13">
        <f>'milk chocolate arabinose'!D49</f>
        <v>0</v>
      </c>
      <c r="I63" s="7">
        <f>'gastic milk choc'!D49</f>
        <v>0</v>
      </c>
      <c r="J63" s="7">
        <f>'gastic milk choc arab'!D49</f>
        <v>0</v>
      </c>
      <c r="K63" s="7">
        <f>emulsie!D49</f>
        <v>0</v>
      </c>
      <c r="L63" s="7">
        <f>arabinose!D49</f>
        <v>0</v>
      </c>
      <c r="M63" s="7">
        <v>0</v>
      </c>
      <c r="N63" s="7">
        <v>0</v>
      </c>
      <c r="O63" s="7">
        <v>0</v>
      </c>
      <c r="P63" s="8">
        <v>0</v>
      </c>
      <c r="Q63" s="8">
        <v>0</v>
      </c>
      <c r="R63" s="8">
        <v>0</v>
      </c>
      <c r="S63" s="8">
        <v>0</v>
      </c>
    </row>
    <row r="64" spans="1:19" x14ac:dyDescent="0.3">
      <c r="A64" s="7">
        <v>57</v>
      </c>
      <c r="B64" s="7" t="s">
        <v>59</v>
      </c>
      <c r="C64" s="7" t="s">
        <v>28</v>
      </c>
      <c r="D64" s="7">
        <f>water!D50</f>
        <v>0</v>
      </c>
      <c r="E64" s="7">
        <f>glucose!D50</f>
        <v>0</v>
      </c>
      <c r="F64" s="7">
        <f>sucrose!D50</f>
        <v>0</v>
      </c>
      <c r="G64" s="7">
        <f>'milk choc'!D50</f>
        <v>0</v>
      </c>
      <c r="H64" s="13">
        <f>'milk chocolate arabinose'!D50</f>
        <v>0</v>
      </c>
      <c r="I64" s="7">
        <f>'gastic milk choc'!D50</f>
        <v>0</v>
      </c>
      <c r="J64" s="7">
        <f>'gastic milk choc arab'!D50</f>
        <v>0</v>
      </c>
      <c r="K64" s="7">
        <f>emulsie!D50</f>
        <v>0</v>
      </c>
      <c r="L64" s="7">
        <f>arabinose!D50</f>
        <v>0</v>
      </c>
      <c r="M64" s="7">
        <v>0</v>
      </c>
      <c r="N64" s="7">
        <v>0</v>
      </c>
      <c r="O64" s="7">
        <v>0</v>
      </c>
      <c r="P64" s="8">
        <v>0</v>
      </c>
      <c r="Q64" s="8">
        <v>0</v>
      </c>
      <c r="R64" s="8">
        <v>0</v>
      </c>
      <c r="S64" s="8">
        <v>0</v>
      </c>
    </row>
    <row r="65" spans="1:19" x14ac:dyDescent="0.3">
      <c r="A65" s="7">
        <v>58</v>
      </c>
      <c r="B65" s="7" t="s">
        <v>60</v>
      </c>
      <c r="C65" s="7" t="s">
        <v>28</v>
      </c>
      <c r="D65" s="7">
        <f>water!D51</f>
        <v>0</v>
      </c>
      <c r="E65" s="7">
        <f>glucose!D51</f>
        <v>0</v>
      </c>
      <c r="F65" s="7">
        <f>sucrose!D51</f>
        <v>0</v>
      </c>
      <c r="G65" s="7">
        <f>'milk choc'!D51</f>
        <v>0</v>
      </c>
      <c r="H65" s="13">
        <f>'milk chocolate arabinose'!D51</f>
        <v>0</v>
      </c>
      <c r="I65" s="7">
        <f>'gastic milk choc'!D51</f>
        <v>0</v>
      </c>
      <c r="J65" s="7">
        <f>'gastic milk choc arab'!D51</f>
        <v>0</v>
      </c>
      <c r="K65" s="7">
        <f>emulsie!D51</f>
        <v>0</v>
      </c>
      <c r="L65" s="7">
        <f>arabinose!D51</f>
        <v>0</v>
      </c>
      <c r="M65" s="7">
        <v>0</v>
      </c>
      <c r="N65" s="7">
        <v>0</v>
      </c>
      <c r="O65" s="7">
        <v>0</v>
      </c>
      <c r="P65" s="8">
        <v>0</v>
      </c>
      <c r="Q65" s="8">
        <v>0</v>
      </c>
      <c r="R65" s="8">
        <v>0</v>
      </c>
      <c r="S65" s="8">
        <v>0</v>
      </c>
    </row>
    <row r="66" spans="1:19" x14ac:dyDescent="0.3">
      <c r="A66" s="7">
        <v>60</v>
      </c>
      <c r="B66" s="7" t="s">
        <v>61</v>
      </c>
      <c r="C66" s="7" t="s">
        <v>28</v>
      </c>
      <c r="D66" s="7">
        <f>water!D52</f>
        <v>0</v>
      </c>
      <c r="E66" s="7">
        <f>glucose!D52</f>
        <v>0</v>
      </c>
      <c r="F66" s="7">
        <f>sucrose!D52</f>
        <v>0</v>
      </c>
      <c r="G66" s="7">
        <f>'milk choc'!D52</f>
        <v>0</v>
      </c>
      <c r="H66" s="13">
        <f>'milk chocolate arabinose'!D52</f>
        <v>0</v>
      </c>
      <c r="I66" s="7">
        <f>'gastic milk choc'!D52</f>
        <v>0</v>
      </c>
      <c r="J66" s="7">
        <f>'gastic milk choc arab'!D52</f>
        <v>0</v>
      </c>
      <c r="K66" s="7">
        <f>emulsie!D52</f>
        <v>0</v>
      </c>
      <c r="L66" s="7">
        <f>arabinose!D52</f>
        <v>0</v>
      </c>
      <c r="M66" s="7">
        <v>0</v>
      </c>
      <c r="N66" s="7">
        <v>0</v>
      </c>
      <c r="O66" s="7">
        <v>0</v>
      </c>
      <c r="P66" s="8">
        <v>0</v>
      </c>
      <c r="Q66" s="8">
        <v>0</v>
      </c>
      <c r="R66" s="8">
        <v>0</v>
      </c>
      <c r="S66" s="8">
        <v>0</v>
      </c>
    </row>
    <row r="67" spans="1:19" x14ac:dyDescent="0.3">
      <c r="A67" s="7">
        <v>61</v>
      </c>
      <c r="B67" s="7" t="s">
        <v>40</v>
      </c>
      <c r="C67" s="7" t="s">
        <v>28</v>
      </c>
      <c r="D67" s="7">
        <f>water!D53</f>
        <v>0</v>
      </c>
      <c r="E67" s="7">
        <f>glucose!D53</f>
        <v>0</v>
      </c>
      <c r="F67" s="7">
        <f>sucrose!D53</f>
        <v>0</v>
      </c>
      <c r="G67" s="7">
        <f>'milk choc'!D53</f>
        <v>9</v>
      </c>
      <c r="H67" s="13">
        <f>'milk chocolate arabinose'!D53</f>
        <v>9</v>
      </c>
      <c r="I67" s="7">
        <f>'gastic milk choc'!D53</f>
        <v>2.31</v>
      </c>
      <c r="J67" s="7">
        <f>'gastic milk choc arab'!D53</f>
        <v>2.31</v>
      </c>
      <c r="K67" s="7">
        <f>emulsie!D53</f>
        <v>0</v>
      </c>
      <c r="L67" s="7">
        <f>arabinose!D53</f>
        <v>0</v>
      </c>
      <c r="M67" s="7">
        <v>0</v>
      </c>
      <c r="N67" s="7">
        <v>0</v>
      </c>
      <c r="O67" s="7">
        <v>0</v>
      </c>
      <c r="P67" s="8">
        <v>0</v>
      </c>
      <c r="Q67" s="8">
        <v>0</v>
      </c>
      <c r="R67" s="8">
        <v>0</v>
      </c>
      <c r="S67" s="8">
        <v>100</v>
      </c>
    </row>
    <row r="68" spans="1:19" x14ac:dyDescent="0.3">
      <c r="A68" s="7">
        <v>62</v>
      </c>
      <c r="B68" s="7" t="s">
        <v>46</v>
      </c>
      <c r="C68" s="7" t="s">
        <v>28</v>
      </c>
      <c r="D68" s="7">
        <f>water!D54</f>
        <v>0</v>
      </c>
      <c r="E68" s="7">
        <f>glucose!D54</f>
        <v>0</v>
      </c>
      <c r="F68" s="7">
        <f>sucrose!D54</f>
        <v>0</v>
      </c>
      <c r="G68" s="7">
        <f>'milk choc'!D54</f>
        <v>0</v>
      </c>
      <c r="H68" s="13">
        <f>'milk chocolate arabinose'!D54</f>
        <v>0</v>
      </c>
      <c r="I68" s="7">
        <f>'gastic milk choc'!D54</f>
        <v>0</v>
      </c>
      <c r="J68" s="7">
        <f>'gastic milk choc arab'!D54</f>
        <v>0</v>
      </c>
      <c r="K68" s="7">
        <f>emulsie!D54</f>
        <v>0</v>
      </c>
      <c r="L68" s="7">
        <f>arabinose!D54</f>
        <v>0</v>
      </c>
      <c r="M68" s="7">
        <v>0</v>
      </c>
      <c r="N68" s="7">
        <v>0</v>
      </c>
      <c r="O68" s="7">
        <v>0</v>
      </c>
      <c r="P68" s="8">
        <v>0</v>
      </c>
      <c r="Q68" s="8">
        <v>0</v>
      </c>
      <c r="R68" s="8">
        <v>0</v>
      </c>
      <c r="S68" s="8">
        <v>0</v>
      </c>
    </row>
    <row r="69" spans="1:19" x14ac:dyDescent="0.3">
      <c r="A69" s="7">
        <v>63</v>
      </c>
      <c r="B69" s="7" t="s">
        <v>47</v>
      </c>
      <c r="C69" s="7" t="s">
        <v>28</v>
      </c>
      <c r="D69" s="7">
        <f>water!D55</f>
        <v>0</v>
      </c>
      <c r="E69" s="7">
        <f>glucose!D55</f>
        <v>0</v>
      </c>
      <c r="F69" s="7">
        <f>sucrose!D55</f>
        <v>0</v>
      </c>
      <c r="G69" s="7">
        <f>'milk choc'!D55</f>
        <v>0</v>
      </c>
      <c r="H69" s="13">
        <f>'milk chocolate arabinose'!D55</f>
        <v>0</v>
      </c>
      <c r="I69" s="7">
        <f>'gastic milk choc'!D55</f>
        <v>0</v>
      </c>
      <c r="J69" s="7">
        <f>'gastic milk choc arab'!D55</f>
        <v>0</v>
      </c>
      <c r="K69" s="7">
        <f>emulsie!D55</f>
        <v>0</v>
      </c>
      <c r="L69" s="7">
        <f>arabinose!D55</f>
        <v>0</v>
      </c>
      <c r="M69" s="7">
        <v>0</v>
      </c>
      <c r="N69" s="7">
        <v>0</v>
      </c>
      <c r="O69" s="7">
        <v>0</v>
      </c>
      <c r="P69" s="8">
        <v>0</v>
      </c>
      <c r="Q69" s="8">
        <v>0</v>
      </c>
      <c r="R69" s="8">
        <v>0</v>
      </c>
      <c r="S69" s="8">
        <v>0</v>
      </c>
    </row>
    <row r="70" spans="1:19" x14ac:dyDescent="0.3">
      <c r="A70" s="7">
        <v>64</v>
      </c>
      <c r="B70" s="7" t="s">
        <v>41</v>
      </c>
      <c r="C70" s="7" t="s">
        <v>28</v>
      </c>
      <c r="D70" s="7">
        <f>water!D56</f>
        <v>0</v>
      </c>
      <c r="E70" s="7">
        <f>glucose!D56</f>
        <v>0</v>
      </c>
      <c r="F70" s="7">
        <f>sucrose!D56</f>
        <v>0</v>
      </c>
      <c r="G70" s="7">
        <f>'milk choc'!D56</f>
        <v>0</v>
      </c>
      <c r="H70" s="13">
        <f>'milk chocolate arabinose'!D56</f>
        <v>0</v>
      </c>
      <c r="I70" s="7">
        <f>'gastic milk choc'!D56</f>
        <v>0</v>
      </c>
      <c r="J70" s="7">
        <f>'gastic milk choc arab'!D56</f>
        <v>0</v>
      </c>
      <c r="K70" s="7">
        <f>emulsie!D56</f>
        <v>0</v>
      </c>
      <c r="L70" s="7">
        <f>arabinose!D56</f>
        <v>0</v>
      </c>
      <c r="M70" s="7">
        <v>0</v>
      </c>
      <c r="N70" s="7">
        <v>0</v>
      </c>
      <c r="O70" s="7">
        <v>0</v>
      </c>
      <c r="P70" s="8">
        <v>0</v>
      </c>
      <c r="Q70" s="8">
        <v>0</v>
      </c>
      <c r="R70" s="8">
        <v>0</v>
      </c>
      <c r="S70" s="8">
        <v>0</v>
      </c>
    </row>
    <row r="71" spans="1:19" x14ac:dyDescent="0.3">
      <c r="A71" s="7">
        <v>65</v>
      </c>
      <c r="B71" s="7" t="s">
        <v>48</v>
      </c>
      <c r="C71" s="7" t="s">
        <v>28</v>
      </c>
      <c r="D71" s="7">
        <f>water!D57</f>
        <v>0</v>
      </c>
      <c r="E71" s="7">
        <f>glucose!D57</f>
        <v>0</v>
      </c>
      <c r="F71" s="7">
        <f>sucrose!D57</f>
        <v>0</v>
      </c>
      <c r="G71" s="7">
        <f>'milk choc'!D57</f>
        <v>0</v>
      </c>
      <c r="H71" s="13">
        <f>'milk chocolate arabinose'!D57</f>
        <v>0</v>
      </c>
      <c r="I71" s="7">
        <f>'gastic milk choc'!D57</f>
        <v>0</v>
      </c>
      <c r="J71" s="7">
        <f>'gastic milk choc arab'!D57</f>
        <v>0</v>
      </c>
      <c r="K71" s="7">
        <f>emulsie!D57</f>
        <v>0</v>
      </c>
      <c r="L71" s="7">
        <f>arabinose!D57</f>
        <v>0</v>
      </c>
      <c r="M71" s="7">
        <v>0</v>
      </c>
      <c r="N71" s="7">
        <v>0</v>
      </c>
      <c r="O71" s="7">
        <v>0</v>
      </c>
      <c r="P71" s="8">
        <v>0</v>
      </c>
      <c r="Q71" s="8">
        <v>0</v>
      </c>
      <c r="R71" s="8">
        <v>0</v>
      </c>
      <c r="S71" s="8">
        <v>0</v>
      </c>
    </row>
    <row r="72" spans="1:19" x14ac:dyDescent="0.3">
      <c r="A72" s="7">
        <v>66</v>
      </c>
      <c r="B72" s="7" t="s">
        <v>5</v>
      </c>
      <c r="C72" s="7" t="s">
        <v>28</v>
      </c>
      <c r="D72" s="7">
        <f>water!D58</f>
        <v>0</v>
      </c>
      <c r="E72" s="7">
        <f>glucose!D58</f>
        <v>0</v>
      </c>
      <c r="F72" s="7">
        <f>sucrose!D58</f>
        <v>0</v>
      </c>
      <c r="G72" s="7">
        <f>'milk choc'!D58</f>
        <v>0</v>
      </c>
      <c r="H72" s="13">
        <f>'milk chocolate arabinose'!D58</f>
        <v>0</v>
      </c>
      <c r="I72" s="7">
        <f>'gastic milk choc'!D58</f>
        <v>0</v>
      </c>
      <c r="J72" s="7">
        <f>'gastic milk choc arab'!D58</f>
        <v>0</v>
      </c>
      <c r="K72" s="7">
        <f>emulsie!D58</f>
        <v>0</v>
      </c>
      <c r="L72" s="7">
        <f>arabinose!D58</f>
        <v>0</v>
      </c>
      <c r="M72" s="7">
        <v>0</v>
      </c>
      <c r="N72" s="7">
        <v>0</v>
      </c>
      <c r="O72" s="7">
        <v>0</v>
      </c>
      <c r="P72" s="8">
        <v>0</v>
      </c>
      <c r="Q72" s="8">
        <v>0</v>
      </c>
      <c r="R72" s="8">
        <v>0</v>
      </c>
      <c r="S72" s="8">
        <v>0</v>
      </c>
    </row>
    <row r="73" spans="1:19" x14ac:dyDescent="0.3">
      <c r="A73" s="7">
        <v>67</v>
      </c>
      <c r="B73" s="7" t="s">
        <v>6</v>
      </c>
      <c r="C73" s="7" t="s">
        <v>28</v>
      </c>
      <c r="D73" s="7">
        <f>water!D59</f>
        <v>0</v>
      </c>
      <c r="E73" s="7">
        <f>glucose!D59</f>
        <v>0</v>
      </c>
      <c r="F73" s="7">
        <f>sucrose!D59</f>
        <v>0</v>
      </c>
      <c r="G73" s="7">
        <f>'milk choc'!D59</f>
        <v>10</v>
      </c>
      <c r="H73" s="13">
        <f>'milk chocolate arabinose'!D59</f>
        <v>10</v>
      </c>
      <c r="I73" s="7">
        <f>'gastic milk choc'!D59</f>
        <v>8.59</v>
      </c>
      <c r="J73" s="7">
        <f>'gastic milk choc arab'!D59</f>
        <v>8.59</v>
      </c>
      <c r="K73" s="7">
        <f>emulsie!D59</f>
        <v>0</v>
      </c>
      <c r="L73" s="7">
        <f>arabinose!D59</f>
        <v>0</v>
      </c>
      <c r="M73" s="7">
        <v>0</v>
      </c>
      <c r="N73" s="7">
        <v>0</v>
      </c>
      <c r="O73" s="7">
        <v>0</v>
      </c>
      <c r="P73" s="8">
        <v>0</v>
      </c>
      <c r="Q73" s="8">
        <v>0</v>
      </c>
      <c r="R73" s="8">
        <v>100</v>
      </c>
      <c r="S73" s="8">
        <v>0</v>
      </c>
    </row>
    <row r="74" spans="1:19" x14ac:dyDescent="0.3">
      <c r="A74" s="7">
        <v>70</v>
      </c>
      <c r="B74" s="7" t="s">
        <v>7</v>
      </c>
      <c r="C74" s="7" t="s">
        <v>28</v>
      </c>
      <c r="D74" s="7">
        <f>water!D60</f>
        <v>0</v>
      </c>
      <c r="E74" s="7">
        <f>glucose!D60</f>
        <v>0</v>
      </c>
      <c r="F74" s="7">
        <f>sucrose!D60</f>
        <v>0</v>
      </c>
      <c r="G74" s="7">
        <f>'milk choc'!D60</f>
        <v>0</v>
      </c>
      <c r="H74" s="13">
        <f>'milk chocolate arabinose'!D60</f>
        <v>0</v>
      </c>
      <c r="I74" s="7">
        <f>'gastic milk choc'!D60</f>
        <v>0</v>
      </c>
      <c r="J74" s="7">
        <f>'gastic milk choc arab'!D60</f>
        <v>0</v>
      </c>
      <c r="K74" s="7">
        <f>emulsie!D60</f>
        <v>0</v>
      </c>
      <c r="L74" s="7">
        <f>arabinose!D60</f>
        <v>0</v>
      </c>
      <c r="M74" s="7">
        <v>0</v>
      </c>
      <c r="N74" s="7">
        <v>0</v>
      </c>
      <c r="O74" s="7">
        <v>0</v>
      </c>
      <c r="P74" s="8">
        <v>0</v>
      </c>
      <c r="Q74" s="8">
        <v>0</v>
      </c>
      <c r="R74" s="8">
        <v>0</v>
      </c>
      <c r="S74" s="8">
        <v>0</v>
      </c>
    </row>
    <row r="75" spans="1:19" x14ac:dyDescent="0.3">
      <c r="A75" s="7">
        <v>71</v>
      </c>
      <c r="B75" s="7" t="s">
        <v>25</v>
      </c>
      <c r="C75" s="7" t="s">
        <v>28</v>
      </c>
      <c r="D75" s="7">
        <f>water!D61</f>
        <v>0</v>
      </c>
      <c r="E75" s="7">
        <f>glucose!D61</f>
        <v>0</v>
      </c>
      <c r="F75" s="7">
        <f>sucrose!D61</f>
        <v>0</v>
      </c>
      <c r="G75" s="7">
        <f>'milk choc'!D61</f>
        <v>0</v>
      </c>
      <c r="H75" s="13">
        <f>'milk chocolate arabinose'!D61</f>
        <v>0</v>
      </c>
      <c r="I75" s="7">
        <f>'gastic milk choc'!D61</f>
        <v>0</v>
      </c>
      <c r="J75" s="7">
        <f>'gastic milk choc arab'!D61</f>
        <v>0</v>
      </c>
      <c r="K75" s="7">
        <f>emulsie!D61</f>
        <v>0</v>
      </c>
      <c r="L75" s="7">
        <f>arabinose!D61</f>
        <v>0</v>
      </c>
      <c r="M75" s="7">
        <v>0</v>
      </c>
      <c r="N75" s="7">
        <v>0</v>
      </c>
      <c r="O75" s="7">
        <v>0</v>
      </c>
      <c r="P75" s="8">
        <v>0</v>
      </c>
      <c r="Q75" s="8">
        <v>0</v>
      </c>
      <c r="R75" s="8">
        <v>0</v>
      </c>
      <c r="S75" s="8">
        <v>0</v>
      </c>
    </row>
    <row r="76" spans="1:19" x14ac:dyDescent="0.3">
      <c r="A76" s="7">
        <v>78</v>
      </c>
      <c r="B76" s="7" t="s">
        <v>49</v>
      </c>
      <c r="C76" s="7" t="s">
        <v>28</v>
      </c>
      <c r="D76" s="7">
        <f>water!D62</f>
        <v>0</v>
      </c>
      <c r="E76" s="7">
        <f>glucose!D62</f>
        <v>0</v>
      </c>
      <c r="F76" s="7">
        <f>sucrose!D62</f>
        <v>0</v>
      </c>
      <c r="G76" s="7">
        <f>'milk choc'!D62</f>
        <v>0</v>
      </c>
      <c r="H76" s="13">
        <f>'milk chocolate arabinose'!D62</f>
        <v>0</v>
      </c>
      <c r="I76" s="7">
        <f>'gastic milk choc'!D62</f>
        <v>0</v>
      </c>
      <c r="J76" s="7">
        <f>'gastic milk choc arab'!D62</f>
        <v>0</v>
      </c>
      <c r="K76" s="7">
        <f>emulsie!D62</f>
        <v>0</v>
      </c>
      <c r="L76" s="7">
        <f>arabinose!D62</f>
        <v>0</v>
      </c>
      <c r="M76" s="7">
        <v>0</v>
      </c>
      <c r="N76" s="7">
        <v>0</v>
      </c>
      <c r="O76" s="7">
        <v>0</v>
      </c>
      <c r="P76" s="8">
        <v>0</v>
      </c>
      <c r="Q76" s="8">
        <v>0</v>
      </c>
      <c r="R76" s="8">
        <v>0</v>
      </c>
      <c r="S76" s="8">
        <v>0</v>
      </c>
    </row>
    <row r="77" spans="1:19" x14ac:dyDescent="0.3">
      <c r="A77" s="7">
        <v>79</v>
      </c>
      <c r="B77" s="7" t="s">
        <v>50</v>
      </c>
      <c r="C77" s="7" t="s">
        <v>28</v>
      </c>
      <c r="D77" s="7">
        <f>water!D63</f>
        <v>0</v>
      </c>
      <c r="E77" s="7">
        <f>glucose!D63</f>
        <v>0</v>
      </c>
      <c r="F77" s="7">
        <f>sucrose!D63</f>
        <v>0</v>
      </c>
      <c r="G77" s="7">
        <f>'milk choc'!D63</f>
        <v>0</v>
      </c>
      <c r="H77" s="13">
        <f>'milk chocolate arabinose'!D63</f>
        <v>0</v>
      </c>
      <c r="I77" s="7">
        <f>'gastic milk choc'!D63</f>
        <v>0</v>
      </c>
      <c r="J77" s="7">
        <f>'gastic milk choc arab'!D63</f>
        <v>0</v>
      </c>
      <c r="K77" s="7">
        <f>emulsie!D63</f>
        <v>0</v>
      </c>
      <c r="L77" s="7">
        <f>arabinose!D63</f>
        <v>0</v>
      </c>
      <c r="M77" s="7">
        <v>0</v>
      </c>
      <c r="N77" s="7">
        <v>0</v>
      </c>
      <c r="O77" s="7">
        <v>0</v>
      </c>
      <c r="P77" s="8">
        <v>0</v>
      </c>
      <c r="Q77" s="8">
        <v>0</v>
      </c>
      <c r="R77" s="8">
        <v>0</v>
      </c>
      <c r="S77" s="8">
        <v>0</v>
      </c>
    </row>
    <row r="78" spans="1:19" x14ac:dyDescent="0.3">
      <c r="A78" s="7">
        <v>80</v>
      </c>
      <c r="B78" s="7" t="s">
        <v>64</v>
      </c>
      <c r="C78" s="7" t="s">
        <v>51</v>
      </c>
      <c r="D78" s="7">
        <f>water!D64</f>
        <v>0</v>
      </c>
      <c r="E78" s="7">
        <f>glucose!D64</f>
        <v>0</v>
      </c>
      <c r="F78" s="7">
        <f>sucrose!D64</f>
        <v>0</v>
      </c>
      <c r="G78" s="7">
        <f>'milk choc'!D64</f>
        <v>0</v>
      </c>
      <c r="H78" s="13">
        <f>'milk chocolate arabinose'!D64</f>
        <v>0</v>
      </c>
      <c r="I78" s="7">
        <f>'gastic milk choc'!D64</f>
        <v>0</v>
      </c>
      <c r="J78" s="7">
        <f>'gastic milk choc arab'!D64</f>
        <v>0</v>
      </c>
      <c r="K78" s="7">
        <f>emulsie!D64</f>
        <v>0</v>
      </c>
      <c r="L78" s="7">
        <f>arabinose!D64</f>
        <v>0</v>
      </c>
      <c r="M78" s="7">
        <v>0</v>
      </c>
      <c r="N78" s="7">
        <v>0</v>
      </c>
      <c r="O78" s="7">
        <v>0</v>
      </c>
      <c r="P78" s="8">
        <v>0</v>
      </c>
      <c r="Q78" s="8">
        <v>0</v>
      </c>
      <c r="R78" s="8">
        <v>0</v>
      </c>
      <c r="S78" s="8">
        <v>0</v>
      </c>
    </row>
    <row r="79" spans="1:19" x14ac:dyDescent="0.3">
      <c r="A79" s="7">
        <v>0</v>
      </c>
      <c r="D79" s="7">
        <f t="shared" ref="D79:L79" si="0">SUM(D35:D78)</f>
        <v>100</v>
      </c>
      <c r="E79" s="7">
        <f t="shared" si="0"/>
        <v>100</v>
      </c>
      <c r="F79" s="7">
        <f t="shared" si="0"/>
        <v>100</v>
      </c>
      <c r="G79" s="7">
        <f t="shared" si="0"/>
        <v>100.31</v>
      </c>
      <c r="H79" s="7">
        <f t="shared" si="0"/>
        <v>100.41</v>
      </c>
      <c r="I79" s="7">
        <f t="shared" si="0"/>
        <v>99.83</v>
      </c>
      <c r="J79" s="7">
        <f t="shared" si="0"/>
        <v>99.83</v>
      </c>
      <c r="K79" s="7">
        <f t="shared" si="0"/>
        <v>100</v>
      </c>
      <c r="L79" s="7">
        <f t="shared" si="0"/>
        <v>100</v>
      </c>
      <c r="M79" s="7">
        <f>SUM(M35:M78)</f>
        <v>99</v>
      </c>
      <c r="N79" s="7">
        <f t="shared" ref="N79:R79" si="1">SUM(N35:N78)</f>
        <v>99</v>
      </c>
      <c r="O79" s="7">
        <f t="shared" si="1"/>
        <v>99</v>
      </c>
      <c r="P79" s="7">
        <f t="shared" si="1"/>
        <v>98</v>
      </c>
      <c r="Q79" s="7">
        <f t="shared" si="1"/>
        <v>98</v>
      </c>
      <c r="R79" s="7">
        <f t="shared" si="1"/>
        <v>100</v>
      </c>
      <c r="S79" s="7">
        <f t="shared" ref="S79" si="2">SUM(S35:S78)</f>
        <v>100</v>
      </c>
    </row>
    <row r="80" spans="1:19" x14ac:dyDescent="0.3">
      <c r="B80" s="7" t="s">
        <v>88</v>
      </c>
      <c r="C80" s="7" t="s">
        <v>91</v>
      </c>
      <c r="D80" s="7">
        <f>water!D66</f>
        <v>1</v>
      </c>
      <c r="E80" s="7">
        <f>glucose!D66</f>
        <v>1.44</v>
      </c>
      <c r="F80" s="7">
        <f>sucrose!D66</f>
        <v>1.44</v>
      </c>
      <c r="G80" s="7">
        <f>'milk choc'!D66</f>
        <v>1.3</v>
      </c>
      <c r="H80" s="13">
        <f>'milk chocolate arabinose'!D66</f>
        <v>1.3</v>
      </c>
      <c r="I80" s="7">
        <f>'gastic milk choc'!D66</f>
        <v>1.2</v>
      </c>
      <c r="J80" s="7">
        <f>'gastic milk choc arab'!D66</f>
        <v>1.2</v>
      </c>
      <c r="K80" s="7">
        <f>emulsie!D66</f>
        <v>0.95</v>
      </c>
      <c r="L80" s="7">
        <f>arabinose!D66</f>
        <v>1.44</v>
      </c>
      <c r="M80" s="7">
        <v>1.44</v>
      </c>
      <c r="N80" s="7">
        <v>1.44</v>
      </c>
      <c r="O80" s="7">
        <v>1.44</v>
      </c>
      <c r="P80" s="8">
        <v>1.4</v>
      </c>
      <c r="Q80" s="8">
        <v>1.4</v>
      </c>
      <c r="R80" s="8">
        <v>1.4</v>
      </c>
      <c r="S80" s="8">
        <v>1.4</v>
      </c>
    </row>
  </sheetData>
  <hyperlinks>
    <hyperlink ref="D13" location="water!A1" display="water" xr:uid="{00000000-0004-0000-0000-000000000000}"/>
    <hyperlink ref="E13" location="glucose!A1" display="glucose" xr:uid="{00000000-0004-0000-0000-000001000000}"/>
    <hyperlink ref="F13" location="sucrose!A1" display="sucrose" xr:uid="{00000000-0004-0000-0000-000002000000}"/>
    <hyperlink ref="G13" location="'milk choc'!A1" display="milk choc" xr:uid="{00000000-0004-0000-0000-000003000000}"/>
    <hyperlink ref="H13" location="'milk chocolate arabinose'!A1" display="milk choc arab" xr:uid="{00000000-0004-0000-0000-000004000000}"/>
    <hyperlink ref="I13" location="'gastic milk choc'!A1" display="'gastic milk choc'!A1" xr:uid="{00000000-0004-0000-0000-000005000000}"/>
    <hyperlink ref="J13" location="'gastic milk choc arab'!A1" display="'gastic milk choc arab'!A1" xr:uid="{00000000-0004-0000-0000-000006000000}"/>
    <hyperlink ref="K13" location="emulsie!A1" display="emulsie" xr:uid="{00000000-0004-0000-0000-000007000000}"/>
    <hyperlink ref="L13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2023-02-26T15:13:04Z</dcterms:modified>
</cp:coreProperties>
</file>