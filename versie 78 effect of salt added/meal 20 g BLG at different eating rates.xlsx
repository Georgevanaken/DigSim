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18" documentId="8_{D6E8AAFE-40F3-4CE8-B046-EA69D847444C}" xr6:coauthVersionLast="47" xr6:coauthVersionMax="47" xr10:uidLastSave="{ADEFBFA9-BE2B-4729-B4AF-B11F2EED6D1C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3" i="3" l="1"/>
  <c r="E7" i="3"/>
  <c r="E8" i="3" s="1"/>
  <c r="E9" i="3" s="1"/>
  <c r="E10" i="3" s="1"/>
  <c r="E11" i="3" s="1"/>
  <c r="E12" i="3" s="1"/>
  <c r="E13" i="3" s="1"/>
  <c r="R83" i="3"/>
  <c r="Q83" i="3" l="1"/>
  <c r="P83" i="3"/>
  <c r="O83" i="3"/>
  <c r="N83" i="3"/>
  <c r="M83" i="3"/>
  <c r="L58" i="3" l="1"/>
  <c r="K58" i="3"/>
  <c r="E58" i="3"/>
  <c r="D58" i="3"/>
  <c r="L57" i="3"/>
  <c r="K57" i="3"/>
  <c r="J57" i="3"/>
  <c r="I57" i="3"/>
  <c r="H57" i="3"/>
  <c r="G57" i="3"/>
  <c r="D57" i="3"/>
  <c r="L56" i="3"/>
  <c r="K56" i="3"/>
  <c r="J56" i="3"/>
  <c r="I56" i="3"/>
  <c r="H56" i="3"/>
  <c r="G56" i="3"/>
  <c r="D56" i="3"/>
  <c r="D59" i="3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3" i="3" l="1"/>
  <c r="D83" i="3"/>
  <c r="E83" i="3"/>
  <c r="G83" i="3"/>
  <c r="F83" i="3"/>
  <c r="H83" i="3"/>
  <c r="J83" i="3"/>
  <c r="K83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<sst xmlns="http://schemas.openxmlformats.org/spreadsheetml/2006/main" count="1095" uniqueCount="106">
  <si>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</si>
  <si>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</si>
  <si>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</si>
  <si>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</si>
  <si>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</si>
  <si>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</si>
  <si>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</si>
  <si>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</si>
  <si>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</si>
  <si>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</si>
  <si>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</si>
  <si>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</si>
  <si>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</si>
  <si>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</si>
  <si>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</si>
  <si>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</si>
  <si>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</si>
  <si>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</si>
  <si>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</si>
  <si>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</si>
  <si>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</si>
  <si>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</si>
  <si>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</si>
  <si>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</si>
  <si>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</si>
  <si>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</si>
  <si>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</si>
  <si>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</si>
  <si>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</si>
  <si>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</si>
  <si>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</si>
  <si>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</si>
  <si>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</si>
  <si>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</si>
  <si>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</si>
  <si>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</si>
  <si>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</si>
  <si>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</si>
  <si>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</si>
  <si>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</si>
  <si>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</si>
  <si>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</si>
  <si>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</si>
  <si>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</si>
  <si>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</si>
  <si>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</si>
  <si>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</si>
  <si>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</si>
  <si>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</si>
  <si>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</si>
  <si>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</si>
  <si>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</si>
  <si>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</si>
  <si>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</si>
  <si>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</si>
  <si>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</si>
  <si>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</si>
  <si>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</si>
  <si>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</si>
  <si>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</si>
  <si>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</si>
  <si>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</si>
  <si>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</si>
  <si>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</si>
  <si>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</si>
  <si>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</si>
  <si>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</si>
  <si>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</si>
  <si>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</si>
  <si>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</si>
  <si>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</si>
  <si>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</si>
  <si>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</si>
  <si>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</si>
  <si>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</si>
  <si>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</si>
  <si>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</si>
  <si>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</si>
  <si>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</si>
  <si>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</si>
  <si>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</si>
  <si>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</si>
  <si>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</si>
  <si>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</si>
  <si>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</si>
  <si>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</si>
  <si>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</si>
  <si>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</si>
  <si>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</si>
  <si>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</si>
  <si>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</si>
  <si>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</si>
  <si>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</si>
  <si>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</si>
  <si>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</si>
  <si>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</si>
  <si>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</si>
  <si>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</si>
  <si>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</si>
  <si>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</si>
  <si>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</si>
  <si>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</si>
  <si>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</si>
  <si>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</si>
  <si>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</si>
  <si>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glucose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</si>
</sst>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165" fontId="7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topLeftCell="A3" workbookViewId="0">
      <selection activeCell="H14" sqref="H14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9.5546875" style="7" customWidth="1"/>
    <col min="6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15</v>
      </c>
      <c r="C6" s="7">
        <v>20</v>
      </c>
      <c r="D6" s="7">
        <v>1</v>
      </c>
      <c r="E6" s="15">
        <v>0.25</v>
      </c>
      <c r="U6" s="10"/>
      <c r="V6" s="11"/>
      <c r="W6" s="11"/>
    </row>
    <row r="7" spans="1:26" x14ac:dyDescent="0.3">
      <c r="A7" s="14">
        <v>500</v>
      </c>
      <c r="B7" s="9">
        <v>15</v>
      </c>
      <c r="C7" s="7">
        <v>20</v>
      </c>
      <c r="D7" s="7">
        <v>1</v>
      </c>
      <c r="E7" s="15">
        <f xml:space="preserve"> 2*E6</f>
        <v>0.5</v>
      </c>
      <c r="U7" s="10"/>
      <c r="V7" s="11"/>
      <c r="W7" s="11"/>
    </row>
    <row r="8" spans="1:26" x14ac:dyDescent="0.3">
      <c r="A8" s="14">
        <v>1000</v>
      </c>
      <c r="B8" s="9">
        <v>15</v>
      </c>
      <c r="C8" s="7">
        <v>20</v>
      </c>
      <c r="D8">
        <v>1</v>
      </c>
      <c r="E8" s="16">
        <f t="shared" ref="E8:E13" si="0">2*E7</f>
        <v>1</v>
      </c>
      <c r="U8" s="10"/>
      <c r="V8" s="11"/>
      <c r="W8" s="11"/>
    </row>
    <row r="9" spans="1:26" x14ac:dyDescent="0.3">
      <c r="A9" s="14">
        <v>1500</v>
      </c>
      <c r="B9" s="9">
        <v>15</v>
      </c>
      <c r="C9" s="7">
        <v>20</v>
      </c>
      <c r="D9">
        <v>1</v>
      </c>
      <c r="E9" s="16">
        <f t="shared" si="0"/>
        <v>2</v>
      </c>
      <c r="U9" s="10"/>
      <c r="V9" s="11"/>
      <c r="W9" s="11"/>
    </row>
    <row r="10" spans="1:26" x14ac:dyDescent="0.3">
      <c r="A10" s="14">
        <v>2000</v>
      </c>
      <c r="B10" s="9">
        <v>15</v>
      </c>
      <c r="C10" s="7">
        <v>20</v>
      </c>
      <c r="D10">
        <v>1</v>
      </c>
      <c r="E10" s="16">
        <f t="shared" si="0"/>
        <v>4</v>
      </c>
      <c r="U10" s="10"/>
      <c r="V10" s="11"/>
      <c r="W10" s="11"/>
    </row>
    <row r="11" spans="1:26" x14ac:dyDescent="0.3">
      <c r="A11" s="14">
        <v>2500</v>
      </c>
      <c r="B11" s="9">
        <v>15</v>
      </c>
      <c r="C11" s="7">
        <v>20</v>
      </c>
      <c r="D11">
        <v>1</v>
      </c>
      <c r="E11" s="16">
        <f t="shared" si="0"/>
        <v>8</v>
      </c>
      <c r="U11" s="10"/>
      <c r="V11" s="11"/>
      <c r="W11" s="11"/>
    </row>
    <row r="12" spans="1:26" x14ac:dyDescent="0.3">
      <c r="A12" s="14">
        <v>3000</v>
      </c>
      <c r="B12" s="9">
        <v>15</v>
      </c>
      <c r="C12" s="7">
        <v>20</v>
      </c>
      <c r="D12">
        <v>1</v>
      </c>
      <c r="E12" s="16">
        <f t="shared" si="0"/>
        <v>16</v>
      </c>
      <c r="U12" s="10"/>
      <c r="V12" s="11"/>
      <c r="W12" s="11"/>
    </row>
    <row r="13" spans="1:26" x14ac:dyDescent="0.3">
      <c r="A13" s="14">
        <v>3500</v>
      </c>
      <c r="B13" s="9">
        <v>15</v>
      </c>
      <c r="C13" s="7">
        <v>20</v>
      </c>
      <c r="D13">
        <v>1</v>
      </c>
      <c r="E13" s="16">
        <f t="shared" si="0"/>
        <v>32</v>
      </c>
      <c r="U13" s="10"/>
      <c r="V13" s="11"/>
      <c r="W13" s="11"/>
    </row>
    <row r="14" spans="1:26" x14ac:dyDescent="0.3">
      <c r="A14" s="9">
        <v>9999</v>
      </c>
      <c r="B14" s="8"/>
    </row>
    <row r="15" spans="1:26" x14ac:dyDescent="0.3">
      <c r="B15" s="8"/>
      <c r="C15" s="8"/>
    </row>
    <row r="16" spans="1:2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9999</v>
      </c>
    </row>
    <row r="17" spans="1:20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" t="s">
        <v>6</v>
      </c>
      <c r="S17" s="1" t="s">
        <v>105</v>
      </c>
    </row>
    <row r="18" spans="1:20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 s="8">
        <v>7</v>
      </c>
      <c r="Q18" s="8">
        <v>7</v>
      </c>
      <c r="R18" s="8">
        <v>7</v>
      </c>
      <c r="S18" s="8">
        <v>7</v>
      </c>
    </row>
    <row r="19" spans="1:20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1</v>
      </c>
      <c r="N19" s="7">
        <v>1</v>
      </c>
      <c r="O19" s="7">
        <v>1</v>
      </c>
      <c r="P19" s="8">
        <v>1</v>
      </c>
      <c r="Q19" s="8">
        <v>1</v>
      </c>
      <c r="R19" s="8">
        <v>1</v>
      </c>
      <c r="S19" s="8">
        <v>1</v>
      </c>
    </row>
    <row r="20" spans="1:20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</v>
      </c>
      <c r="N20" s="7">
        <v>1</v>
      </c>
      <c r="O20" s="7">
        <v>1</v>
      </c>
      <c r="P20" s="8">
        <v>10000</v>
      </c>
      <c r="Q20" s="8">
        <v>10000</v>
      </c>
      <c r="R20" s="8">
        <v>1</v>
      </c>
      <c r="S20" s="8">
        <v>1</v>
      </c>
    </row>
    <row r="21" spans="1:20" x14ac:dyDescent="0.3">
      <c r="A21" s="7" t="s">
        <v>34</v>
      </c>
      <c r="C21" s="7" t="s">
        <v>27</v>
      </c>
      <c r="D21" s="7">
        <v>0.1</v>
      </c>
      <c r="E21" s="7">
        <v>0.1</v>
      </c>
      <c r="F21" s="7">
        <v>0.1</v>
      </c>
      <c r="G21" s="7">
        <v>1</v>
      </c>
      <c r="H21" s="13">
        <v>1</v>
      </c>
      <c r="I21" s="7">
        <v>5</v>
      </c>
      <c r="J21" s="7">
        <v>5</v>
      </c>
      <c r="K21" s="7">
        <f>emulsie!D7</f>
        <v>1</v>
      </c>
      <c r="L21" s="7">
        <v>0.1</v>
      </c>
      <c r="M21" s="7">
        <v>2</v>
      </c>
      <c r="N21" s="7">
        <v>100</v>
      </c>
      <c r="O21" s="7">
        <v>1</v>
      </c>
      <c r="P21" s="8">
        <v>10</v>
      </c>
      <c r="Q21" s="8">
        <v>20</v>
      </c>
      <c r="R21" s="8">
        <v>1</v>
      </c>
      <c r="S21" s="8">
        <v>0.1</v>
      </c>
    </row>
    <row r="22" spans="1:20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8">
        <v>1</v>
      </c>
      <c r="T22" s="11"/>
    </row>
    <row r="23" spans="1:20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8">
        <v>95</v>
      </c>
      <c r="T23" s="11"/>
    </row>
    <row r="24" spans="1:20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8">
        <v>2</v>
      </c>
      <c r="T24" s="11"/>
    </row>
    <row r="25" spans="1:20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5</v>
      </c>
      <c r="T25" s="11"/>
    </row>
    <row r="26" spans="1:20" x14ac:dyDescent="0.3">
      <c r="A26" s="7" t="s">
        <v>35</v>
      </c>
      <c r="C26" s="7" t="s">
        <v>27</v>
      </c>
      <c r="D26" s="7">
        <v>0.1</v>
      </c>
      <c r="E26" s="7">
        <v>0.1</v>
      </c>
      <c r="F26" s="7">
        <v>0.1</v>
      </c>
      <c r="G26" s="7">
        <v>5</v>
      </c>
      <c r="H26" s="13">
        <v>5</v>
      </c>
      <c r="I26" s="7">
        <v>50</v>
      </c>
      <c r="J26" s="7">
        <v>50</v>
      </c>
      <c r="K26" s="7">
        <f>emulsie!D12</f>
        <v>1</v>
      </c>
      <c r="L26" s="7">
        <v>0.1</v>
      </c>
      <c r="M26" s="7">
        <v>1</v>
      </c>
      <c r="N26" s="7">
        <v>100</v>
      </c>
      <c r="O26" s="7">
        <v>1</v>
      </c>
      <c r="P26" s="8">
        <v>10</v>
      </c>
      <c r="Q26" s="8">
        <v>100</v>
      </c>
      <c r="R26" s="8">
        <v>1</v>
      </c>
      <c r="S26" s="8">
        <v>0.1</v>
      </c>
    </row>
    <row r="27" spans="1:20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8">
        <v>1</v>
      </c>
      <c r="T27" s="11"/>
    </row>
    <row r="28" spans="1:20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8">
        <v>80</v>
      </c>
      <c r="T28" s="11"/>
    </row>
    <row r="29" spans="1:20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8">
        <v>2</v>
      </c>
      <c r="T29" s="11"/>
    </row>
    <row r="30" spans="1:20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20</v>
      </c>
      <c r="T30" s="11"/>
    </row>
    <row r="31" spans="1:20" x14ac:dyDescent="0.3">
      <c r="A31" s="7" t="s">
        <v>92</v>
      </c>
      <c r="C31" s="7" t="s">
        <v>27</v>
      </c>
      <c r="D31" s="7">
        <v>0.1</v>
      </c>
      <c r="E31" s="7">
        <v>0.1</v>
      </c>
      <c r="F31" s="7">
        <v>0.1</v>
      </c>
      <c r="G31" s="7">
        <v>1</v>
      </c>
      <c r="H31" s="13">
        <v>1</v>
      </c>
      <c r="I31" s="7">
        <v>1</v>
      </c>
      <c r="J31" s="7">
        <v>1</v>
      </c>
      <c r="K31" s="7">
        <f>emulsie!D17</f>
        <v>1</v>
      </c>
      <c r="L31" s="7">
        <v>0.1</v>
      </c>
      <c r="M31" s="7">
        <v>1</v>
      </c>
      <c r="N31" s="7">
        <v>10</v>
      </c>
      <c r="O31" s="7">
        <v>1</v>
      </c>
      <c r="P31" s="8">
        <v>10</v>
      </c>
      <c r="Q31" s="8">
        <v>100</v>
      </c>
      <c r="R31" s="8">
        <v>1</v>
      </c>
      <c r="S31" s="8">
        <v>0.1</v>
      </c>
      <c r="T31" s="11"/>
    </row>
    <row r="32" spans="1:20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 s="8">
        <v>10</v>
      </c>
      <c r="Q32" s="8">
        <v>11</v>
      </c>
      <c r="R32" s="8">
        <v>0</v>
      </c>
      <c r="S32" s="8">
        <v>1</v>
      </c>
      <c r="T32" s="11"/>
    </row>
    <row r="33" spans="1:20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 s="8">
        <v>50</v>
      </c>
      <c r="Q33" s="8">
        <v>100</v>
      </c>
      <c r="R33" s="8">
        <v>0</v>
      </c>
      <c r="S33" s="8">
        <v>80</v>
      </c>
      <c r="T33" s="11"/>
    </row>
    <row r="34" spans="1:20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  <c r="S34" s="8">
        <v>2</v>
      </c>
      <c r="T34" s="11"/>
    </row>
    <row r="35" spans="1:20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  <c r="S35" s="8">
        <v>20</v>
      </c>
      <c r="T35" s="11"/>
    </row>
    <row r="36" spans="1:20" x14ac:dyDescent="0.3">
      <c r="H36" s="13"/>
    </row>
    <row r="37" spans="1:20" x14ac:dyDescent="0.3">
      <c r="B37" s="8"/>
      <c r="C37" s="8"/>
      <c r="H37" s="13"/>
    </row>
    <row r="38" spans="1:20" x14ac:dyDescent="0.3">
      <c r="B38" s="8" t="s">
        <v>26</v>
      </c>
      <c r="C38" s="8"/>
      <c r="H38" s="13"/>
    </row>
    <row r="39" spans="1:20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 s="8">
        <v>14</v>
      </c>
      <c r="Q39" s="8">
        <v>14</v>
      </c>
      <c r="R39" s="8">
        <v>0</v>
      </c>
      <c r="S39" s="8">
        <v>80</v>
      </c>
    </row>
    <row r="40" spans="1:20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20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19</v>
      </c>
    </row>
    <row r="42" spans="1:20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  <c r="S42" s="8">
        <v>0</v>
      </c>
    </row>
    <row r="43" spans="1:20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  <c r="S43" s="8">
        <v>0</v>
      </c>
    </row>
    <row r="44" spans="1:20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20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 s="8">
        <v>75</v>
      </c>
      <c r="Q45" s="8">
        <v>0</v>
      </c>
      <c r="R45" s="8">
        <v>0</v>
      </c>
      <c r="S45" s="8">
        <v>0</v>
      </c>
    </row>
    <row r="46" spans="1:20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 s="8">
        <v>0</v>
      </c>
      <c r="Q46" s="8">
        <v>75</v>
      </c>
      <c r="R46" s="8">
        <v>0</v>
      </c>
      <c r="S46" s="8">
        <v>0</v>
      </c>
    </row>
    <row r="47" spans="1:20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 s="8">
        <v>0</v>
      </c>
      <c r="Q47" s="8">
        <v>0</v>
      </c>
      <c r="R47" s="8">
        <v>0</v>
      </c>
      <c r="S47" s="8">
        <v>0</v>
      </c>
    </row>
    <row r="48" spans="1:20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 s="8">
        <v>9</v>
      </c>
      <c r="Q49" s="8">
        <v>9</v>
      </c>
      <c r="R49" s="8">
        <v>0</v>
      </c>
      <c r="S49" s="8">
        <v>0</v>
      </c>
    </row>
    <row r="50" spans="1:19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  <c r="S54" s="8">
        <v>0</v>
      </c>
    </row>
    <row r="55" spans="1:19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34</v>
      </c>
      <c r="B56" s="7" t="s">
        <v>101</v>
      </c>
      <c r="C56" s="7" t="s">
        <v>28</v>
      </c>
      <c r="D56" s="7">
        <f>[1]water!D42</f>
        <v>0</v>
      </c>
      <c r="E56" s="7">
        <v>1</v>
      </c>
      <c r="F56" s="7">
        <v>0</v>
      </c>
      <c r="G56" s="7">
        <f>'[1]milk choc'!D42</f>
        <v>0</v>
      </c>
      <c r="H56" s="13">
        <f>'[1]milk chocolate arabinose'!D42</f>
        <v>0</v>
      </c>
      <c r="I56" s="7">
        <f>'[1]gastic milk choc'!D42</f>
        <v>0</v>
      </c>
      <c r="J56" s="7">
        <f>'[1]gastic milk choc arab'!D42</f>
        <v>0</v>
      </c>
      <c r="K56" s="7">
        <f>[1]emulsie!D42</f>
        <v>0</v>
      </c>
      <c r="L56" s="7">
        <f>[1]arabinose!D42</f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8">
        <v>0</v>
      </c>
      <c r="S56" s="8">
        <v>1</v>
      </c>
    </row>
    <row r="57" spans="1:19" x14ac:dyDescent="0.3">
      <c r="A57" s="7">
        <v>35</v>
      </c>
      <c r="B57" s="7" t="s">
        <v>102</v>
      </c>
      <c r="C57" s="7" t="s">
        <v>28</v>
      </c>
      <c r="D57" s="7">
        <f>[1]water!D43</f>
        <v>0</v>
      </c>
      <c r="E57" s="7">
        <v>0</v>
      </c>
      <c r="F57" s="7">
        <v>0</v>
      </c>
      <c r="G57" s="7">
        <f>'[1]milk choc'!D43</f>
        <v>0</v>
      </c>
      <c r="H57" s="13">
        <f>'[1]milk chocolate arabinose'!D43</f>
        <v>0</v>
      </c>
      <c r="I57" s="7">
        <f>'[1]gastic milk choc'!D43</f>
        <v>0</v>
      </c>
      <c r="J57" s="7">
        <f>'[1]gastic milk choc arab'!D43</f>
        <v>0</v>
      </c>
      <c r="K57" s="7">
        <f>[1]emulsie!D43</f>
        <v>0</v>
      </c>
      <c r="L57" s="7">
        <f>[1]arabinose!D43</f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8">
        <v>0</v>
      </c>
      <c r="S57" s="8">
        <v>0</v>
      </c>
    </row>
    <row r="58" spans="1:19" x14ac:dyDescent="0.3">
      <c r="A58" s="7">
        <v>36</v>
      </c>
      <c r="B58" s="7" t="s">
        <v>103</v>
      </c>
      <c r="C58" s="7" t="s">
        <v>28</v>
      </c>
      <c r="D58" s="7">
        <f>[1]water!D44</f>
        <v>0</v>
      </c>
      <c r="E58" s="7">
        <f>[1]glucose!D44</f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f>[1]emulsie!D44</f>
        <v>0</v>
      </c>
      <c r="L58" s="7">
        <f>[1]arabinose!D44</f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8">
        <v>0</v>
      </c>
      <c r="S58" s="8">
        <v>0</v>
      </c>
    </row>
    <row r="59" spans="1:19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</row>
    <row r="68" spans="1:19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</row>
    <row r="74" spans="1:19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100</v>
      </c>
      <c r="S77" s="8">
        <v>0</v>
      </c>
    </row>
    <row r="78" spans="1:19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8">
        <v>0</v>
      </c>
      <c r="S79" s="8">
        <v>0</v>
      </c>
    </row>
    <row r="80" spans="1:19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  <c r="S80" s="8">
        <v>0</v>
      </c>
    </row>
    <row r="81" spans="1:19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</row>
    <row r="82" spans="1:19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</row>
    <row r="83" spans="1:19" x14ac:dyDescent="0.3">
      <c r="A83" s="7">
        <v>0</v>
      </c>
      <c r="D83" s="7">
        <f t="shared" ref="D83:L83" si="1">SUM(D39:D82)</f>
        <v>100</v>
      </c>
      <c r="E83" s="7">
        <f t="shared" si="1"/>
        <v>100</v>
      </c>
      <c r="F83" s="7">
        <f t="shared" si="1"/>
        <v>100</v>
      </c>
      <c r="G83" s="7">
        <f t="shared" si="1"/>
        <v>100.31</v>
      </c>
      <c r="H83" s="7">
        <f t="shared" si="1"/>
        <v>100.41</v>
      </c>
      <c r="I83" s="7">
        <f t="shared" si="1"/>
        <v>99.83</v>
      </c>
      <c r="J83" s="7">
        <f t="shared" si="1"/>
        <v>99.83</v>
      </c>
      <c r="K83" s="7">
        <f t="shared" si="1"/>
        <v>100</v>
      </c>
      <c r="L83" s="7">
        <f t="shared" si="1"/>
        <v>100</v>
      </c>
      <c r="M83" s="7">
        <f>SUM(M39:M82)</f>
        <v>99</v>
      </c>
      <c r="N83" s="7">
        <f t="shared" ref="N83:R83" si="2">SUM(N39:N82)</f>
        <v>99</v>
      </c>
      <c r="O83" s="7">
        <f t="shared" si="2"/>
        <v>99</v>
      </c>
      <c r="P83" s="7">
        <f t="shared" si="2"/>
        <v>98</v>
      </c>
      <c r="Q83" s="7">
        <f t="shared" si="2"/>
        <v>98</v>
      </c>
      <c r="R83" s="7">
        <f t="shared" si="2"/>
        <v>100</v>
      </c>
      <c r="S83" s="7">
        <f t="shared" ref="S83" si="3">SUM(S39:S82)</f>
        <v>100</v>
      </c>
    </row>
    <row r="84" spans="1:19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 s="8">
        <v>1.4</v>
      </c>
      <c r="Q84" s="8">
        <v>1.4</v>
      </c>
      <c r="R84" s="8">
        <v>1.4</v>
      </c>
      <c r="S84" s="8">
        <v>1.1000000000000001</v>
      </c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opLeftCell="A3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2023-11-04T14:01:15Z</dcterms:modified>
</cp:coreProperties>
</file>