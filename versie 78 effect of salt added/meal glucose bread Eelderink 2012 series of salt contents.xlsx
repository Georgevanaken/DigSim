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filterPrivacy="1" defaultThemeVersion="124226"/>
  <xr:revisionPtr revIDLastSave="12" documentId="14_{C67BB094-35A5-4C89-BE5F-67001C379DD7}" xr6:coauthVersionLast="47" xr6:coauthVersionMax="47" xr10:uidLastSave="{47B2BF1D-B083-4CF2-9ED1-CEEA2D157DA9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1" i="3" l="1"/>
  <c r="S91" i="3"/>
  <c r="AA91" i="3" l="1"/>
  <c r="Z91" i="3"/>
  <c r="Y91" i="3"/>
  <c r="X91" i="3"/>
  <c r="U91" i="3"/>
  <c r="R91" i="3"/>
  <c r="AB91" i="3" l="1"/>
  <c r="Q91" i="3" l="1"/>
  <c r="P91" i="3"/>
  <c r="O91" i="3"/>
  <c r="N91" i="3"/>
  <c r="M91" i="3"/>
  <c r="D67" i="3" l="1"/>
  <c r="E67" i="3"/>
  <c r="F67" i="3"/>
  <c r="G67" i="3"/>
  <c r="H67" i="3"/>
  <c r="I67" i="3"/>
  <c r="J67" i="3"/>
  <c r="K67" i="3"/>
  <c r="L67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92" i="3" l="1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3" i="3"/>
  <c r="L62" i="3"/>
  <c r="L61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3" i="3"/>
  <c r="L42" i="3"/>
  <c r="L41" i="3"/>
  <c r="L40" i="3"/>
  <c r="L38" i="3"/>
  <c r="L37" i="3"/>
  <c r="L36" i="3"/>
  <c r="L35" i="3"/>
  <c r="L33" i="3"/>
  <c r="L32" i="3"/>
  <c r="L31" i="3"/>
  <c r="L30" i="3"/>
  <c r="L28" i="3"/>
  <c r="L27" i="3"/>
  <c r="L26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91" i="3" l="1"/>
  <c r="K92" i="3"/>
  <c r="J92" i="3"/>
  <c r="I92" i="3"/>
  <c r="H92" i="3"/>
  <c r="G92" i="3"/>
  <c r="F92" i="3"/>
  <c r="E92" i="3"/>
  <c r="D92" i="3"/>
  <c r="K90" i="3"/>
  <c r="J90" i="3"/>
  <c r="I90" i="3"/>
  <c r="H90" i="3"/>
  <c r="G90" i="3"/>
  <c r="F90" i="3"/>
  <c r="E90" i="3"/>
  <c r="D90" i="3"/>
  <c r="K89" i="3"/>
  <c r="J89" i="3"/>
  <c r="I89" i="3"/>
  <c r="H89" i="3"/>
  <c r="G89" i="3"/>
  <c r="F89" i="3"/>
  <c r="E89" i="3"/>
  <c r="D89" i="3"/>
  <c r="K88" i="3"/>
  <c r="J88" i="3"/>
  <c r="I88" i="3"/>
  <c r="H88" i="3"/>
  <c r="G88" i="3"/>
  <c r="F88" i="3"/>
  <c r="E88" i="3"/>
  <c r="D88" i="3"/>
  <c r="K87" i="3"/>
  <c r="J87" i="3"/>
  <c r="I87" i="3"/>
  <c r="H87" i="3"/>
  <c r="G87" i="3"/>
  <c r="F87" i="3"/>
  <c r="E87" i="3"/>
  <c r="D87" i="3"/>
  <c r="K86" i="3"/>
  <c r="J86" i="3"/>
  <c r="I86" i="3"/>
  <c r="H86" i="3"/>
  <c r="G86" i="3"/>
  <c r="F86" i="3"/>
  <c r="E86" i="3"/>
  <c r="D86" i="3"/>
  <c r="K85" i="3"/>
  <c r="J85" i="3"/>
  <c r="I85" i="3"/>
  <c r="H85" i="3"/>
  <c r="G85" i="3"/>
  <c r="F85" i="3"/>
  <c r="E85" i="3"/>
  <c r="D85" i="3"/>
  <c r="K84" i="3"/>
  <c r="J84" i="3"/>
  <c r="I84" i="3"/>
  <c r="H84" i="3"/>
  <c r="G84" i="3"/>
  <c r="F84" i="3"/>
  <c r="E84" i="3"/>
  <c r="D84" i="3"/>
  <c r="K83" i="3"/>
  <c r="J83" i="3"/>
  <c r="I83" i="3"/>
  <c r="H83" i="3"/>
  <c r="G83" i="3"/>
  <c r="F83" i="3"/>
  <c r="E83" i="3"/>
  <c r="D83" i="3"/>
  <c r="K82" i="3"/>
  <c r="J82" i="3"/>
  <c r="I82" i="3"/>
  <c r="H82" i="3"/>
  <c r="G82" i="3"/>
  <c r="F82" i="3"/>
  <c r="E82" i="3"/>
  <c r="D82" i="3"/>
  <c r="K81" i="3"/>
  <c r="J81" i="3"/>
  <c r="I81" i="3"/>
  <c r="H81" i="3"/>
  <c r="G81" i="3"/>
  <c r="F81" i="3"/>
  <c r="E81" i="3"/>
  <c r="D81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8" i="3"/>
  <c r="J78" i="3"/>
  <c r="I78" i="3"/>
  <c r="H78" i="3"/>
  <c r="G78" i="3"/>
  <c r="F78" i="3"/>
  <c r="E78" i="3"/>
  <c r="D78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4" i="3"/>
  <c r="J54" i="3"/>
  <c r="I54" i="3"/>
  <c r="H54" i="3"/>
  <c r="G54" i="3"/>
  <c r="F54" i="3"/>
  <c r="E54" i="3"/>
  <c r="D54" i="3"/>
  <c r="K53" i="3"/>
  <c r="J53" i="3"/>
  <c r="I53" i="3"/>
  <c r="H53" i="3"/>
  <c r="G53" i="3"/>
  <c r="F53" i="3"/>
  <c r="E53" i="3"/>
  <c r="D53" i="3"/>
  <c r="K52" i="3"/>
  <c r="J52" i="3"/>
  <c r="I52" i="3"/>
  <c r="H52" i="3"/>
  <c r="G52" i="3"/>
  <c r="F52" i="3"/>
  <c r="E52" i="3"/>
  <c r="D52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D49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F41" i="3"/>
  <c r="E41" i="3"/>
  <c r="D41" i="3"/>
  <c r="K40" i="3"/>
  <c r="J40" i="3"/>
  <c r="I40" i="3"/>
  <c r="F40" i="3"/>
  <c r="E40" i="3"/>
  <c r="D40" i="3"/>
  <c r="K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F36" i="3"/>
  <c r="E36" i="3"/>
  <c r="D36" i="3"/>
  <c r="K35" i="3"/>
  <c r="J35" i="3"/>
  <c r="I35" i="3"/>
  <c r="G35" i="3"/>
  <c r="F35" i="3"/>
  <c r="E35" i="3"/>
  <c r="D35" i="3"/>
  <c r="K34" i="3"/>
  <c r="K33" i="3"/>
  <c r="J33" i="3"/>
  <c r="I33" i="3"/>
  <c r="H33" i="3"/>
  <c r="G33" i="3"/>
  <c r="F33" i="3"/>
  <c r="E33" i="3"/>
  <c r="D33" i="3"/>
  <c r="K32" i="3"/>
  <c r="J32" i="3"/>
  <c r="I32" i="3"/>
  <c r="H32" i="3"/>
  <c r="G32" i="3"/>
  <c r="F32" i="3"/>
  <c r="E32" i="3"/>
  <c r="D32" i="3"/>
  <c r="K31" i="3"/>
  <c r="J31" i="3"/>
  <c r="I31" i="3"/>
  <c r="F31" i="3"/>
  <c r="E31" i="3"/>
  <c r="D31" i="3"/>
  <c r="K30" i="3"/>
  <c r="J30" i="3"/>
  <c r="I30" i="3"/>
  <c r="G30" i="3"/>
  <c r="F30" i="3"/>
  <c r="E30" i="3"/>
  <c r="D30" i="3"/>
  <c r="K29" i="3"/>
  <c r="K28" i="3"/>
  <c r="H28" i="3"/>
  <c r="G28" i="3"/>
  <c r="F28" i="3"/>
  <c r="E28" i="3"/>
  <c r="D28" i="3"/>
  <c r="K27" i="3"/>
  <c r="H27" i="3"/>
  <c r="G27" i="3"/>
  <c r="D27" i="3"/>
  <c r="I91" i="3" l="1"/>
  <c r="D91" i="3"/>
  <c r="E91" i="3"/>
  <c r="G91" i="3"/>
  <c r="F91" i="3"/>
  <c r="H91" i="3"/>
  <c r="J91" i="3"/>
  <c r="K91" i="3"/>
  <c r="K26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26" i="3" l="1"/>
  <c r="I26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26" i="3" l="1"/>
  <c r="G26" i="3"/>
  <c r="F26" i="3"/>
  <c r="E26" i="3"/>
  <c r="D26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<sst xmlns="http://schemas.openxmlformats.org/spreadsheetml/2006/main" count="1104" uniqueCount="111">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</sst>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43" fontId="7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0" fillId="0" borderId="0" xfId="2" applyNumberFormat="1" applyFont="1"/>
    <xf numFmtId="0" fontId="6" fillId="0" borderId="0" xfId="0" applyFont="1"/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2"/>
  <sheetViews>
    <sheetView tabSelected="1" workbookViewId="0">
      <selection activeCell="A14" sqref="A14:XFD15"/>
    </sheetView>
  </sheetViews>
  <sheetFormatPr defaultRowHeight="14.4" x14ac:dyDescent="0.3"/>
  <cols>
    <col min="1" max="1" width="8.88671875" style="6"/>
    <col min="2" max="2" width="19.33203125" style="6" customWidth="1"/>
    <col min="3" max="3" width="22.77734375" style="6" customWidth="1"/>
    <col min="4" max="4" width="8.88671875" style="6"/>
    <col min="5" max="5" width="8.88671875" style="6" customWidth="1"/>
    <col min="6" max="7" width="8.88671875" style="6" hidden="1" customWidth="1"/>
    <col min="8" max="8" width="9" style="6" hidden="1" customWidth="1"/>
    <col min="9" max="9" width="8.88671875" style="6" hidden="1" customWidth="1"/>
    <col min="10" max="10" width="8.5546875" style="6" hidden="1" customWidth="1"/>
    <col min="11" max="17" width="8.88671875" style="6" hidden="1" customWidth="1"/>
    <col min="18" max="18" width="8.88671875" style="6" customWidth="1"/>
    <col min="19" max="16384" width="8.88671875" style="6"/>
  </cols>
  <sheetData>
    <row r="1" spans="1:35" ht="23.4" x14ac:dyDescent="0.45">
      <c r="A1" s="20" t="s">
        <v>0</v>
      </c>
    </row>
    <row r="2" spans="1:35" x14ac:dyDescent="0.3">
      <c r="A2" s="6" t="s">
        <v>76</v>
      </c>
      <c r="D2" s="6" t="s">
        <v>27</v>
      </c>
      <c r="E2" s="6">
        <v>500</v>
      </c>
    </row>
    <row r="4" spans="1:35" x14ac:dyDescent="0.3">
      <c r="A4" s="7" t="s">
        <v>30</v>
      </c>
      <c r="B4" s="7" t="s">
        <v>70</v>
      </c>
      <c r="C4" s="7" t="s">
        <v>31</v>
      </c>
      <c r="D4" s="7" t="s">
        <v>33</v>
      </c>
      <c r="E4" s="7" t="s">
        <v>32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</row>
    <row r="5" spans="1:35" x14ac:dyDescent="0.3">
      <c r="A5" s="7" t="s">
        <v>27</v>
      </c>
      <c r="B5" s="7" t="s">
        <v>68</v>
      </c>
      <c r="C5" s="7" t="s">
        <v>28</v>
      </c>
      <c r="D5" s="7" t="s">
        <v>68</v>
      </c>
      <c r="E5" s="7" t="s">
        <v>29</v>
      </c>
      <c r="F5" s="7"/>
      <c r="R5" s="7"/>
      <c r="S5" s="7"/>
      <c r="T5" s="7"/>
      <c r="U5" s="7"/>
      <c r="V5" s="7"/>
      <c r="W5" s="7"/>
      <c r="X5" s="7"/>
      <c r="Y5" s="7"/>
      <c r="AA5" s="7"/>
    </row>
    <row r="6" spans="1:35" x14ac:dyDescent="0.3">
      <c r="A6" s="7">
        <v>0</v>
      </c>
      <c r="B6" s="7">
        <v>1</v>
      </c>
      <c r="C6">
        <v>250</v>
      </c>
      <c r="D6">
        <v>1</v>
      </c>
      <c r="E6">
        <v>10</v>
      </c>
      <c r="F6" s="7"/>
      <c r="R6" s="7"/>
      <c r="S6" s="7"/>
      <c r="T6" s="7"/>
      <c r="U6" s="7"/>
      <c r="V6" s="7"/>
      <c r="W6" s="7"/>
      <c r="X6" s="7"/>
      <c r="Y6" s="7"/>
      <c r="AA6" s="7"/>
    </row>
    <row r="7" spans="1:35" x14ac:dyDescent="0.3">
      <c r="A7" s="7">
        <v>1</v>
      </c>
      <c r="B7" s="7">
        <v>2</v>
      </c>
      <c r="C7">
        <v>50</v>
      </c>
      <c r="D7">
        <v>2</v>
      </c>
      <c r="E7">
        <v>50</v>
      </c>
      <c r="F7" s="7"/>
      <c r="R7" s="7"/>
      <c r="S7" s="7"/>
      <c r="T7" s="7"/>
      <c r="U7" s="7"/>
      <c r="V7" s="7"/>
      <c r="W7" s="7"/>
      <c r="X7" s="7"/>
      <c r="Y7" s="7"/>
      <c r="AA7" s="7"/>
    </row>
    <row r="8" spans="1:35" x14ac:dyDescent="0.3">
      <c r="A8" s="7">
        <v>500</v>
      </c>
      <c r="B8" s="7">
        <v>1</v>
      </c>
      <c r="C8">
        <v>250</v>
      </c>
      <c r="D8">
        <v>1</v>
      </c>
      <c r="E8">
        <v>10</v>
      </c>
      <c r="F8" s="7"/>
      <c r="R8" s="7"/>
      <c r="S8" s="7"/>
      <c r="T8" s="7"/>
      <c r="U8" s="7"/>
      <c r="V8" s="7"/>
      <c r="W8" s="7"/>
      <c r="X8" s="7"/>
      <c r="Y8" s="7"/>
      <c r="AA8" s="7"/>
    </row>
    <row r="9" spans="1:35" x14ac:dyDescent="0.3">
      <c r="A9" s="7">
        <v>501</v>
      </c>
      <c r="B9" s="7">
        <v>2</v>
      </c>
      <c r="C9">
        <v>50</v>
      </c>
      <c r="D9">
        <v>2</v>
      </c>
      <c r="E9">
        <v>50</v>
      </c>
      <c r="F9" s="7"/>
      <c r="R9" s="7"/>
      <c r="S9" s="7"/>
      <c r="T9" s="7"/>
      <c r="U9" s="7"/>
      <c r="V9" s="7"/>
      <c r="W9" s="7"/>
      <c r="X9" s="7"/>
      <c r="Y9" s="7"/>
      <c r="AA9" s="7"/>
    </row>
    <row r="10" spans="1:35" x14ac:dyDescent="0.3">
      <c r="A10" s="7">
        <v>502</v>
      </c>
      <c r="B10" s="7">
        <v>78</v>
      </c>
      <c r="C10">
        <v>1</v>
      </c>
      <c r="D10">
        <v>1</v>
      </c>
      <c r="E10">
        <v>10</v>
      </c>
      <c r="F10" s="7"/>
      <c r="R10" s="7"/>
      <c r="S10" s="7"/>
      <c r="T10" s="7"/>
      <c r="U10" s="7"/>
      <c r="V10" s="7"/>
      <c r="W10" s="7"/>
      <c r="X10" s="7"/>
      <c r="Y10" s="7"/>
      <c r="AA10" s="7"/>
    </row>
    <row r="11" spans="1:35" x14ac:dyDescent="0.3">
      <c r="A11" s="7">
        <v>1000</v>
      </c>
      <c r="B11" s="7">
        <v>1</v>
      </c>
      <c r="C11">
        <v>250</v>
      </c>
      <c r="D11">
        <v>1</v>
      </c>
      <c r="E11">
        <v>10</v>
      </c>
      <c r="F11" s="7"/>
      <c r="R11" s="7"/>
      <c r="S11" s="7"/>
      <c r="T11" s="7"/>
      <c r="U11" s="7"/>
      <c r="V11" s="7"/>
      <c r="W11" s="7"/>
      <c r="X11" s="7"/>
      <c r="Y11" s="7"/>
      <c r="AA11" s="7"/>
    </row>
    <row r="12" spans="1:35" x14ac:dyDescent="0.3">
      <c r="A12" s="7">
        <v>1001</v>
      </c>
      <c r="B12" s="7">
        <v>2</v>
      </c>
      <c r="C12">
        <v>50</v>
      </c>
      <c r="D12">
        <v>2</v>
      </c>
      <c r="E12">
        <v>50</v>
      </c>
      <c r="F12" s="7"/>
      <c r="R12" s="7"/>
      <c r="S12" s="7"/>
      <c r="T12" s="7"/>
      <c r="U12" s="7"/>
      <c r="V12" s="7"/>
      <c r="W12" s="7"/>
      <c r="X12" s="7"/>
      <c r="Y12" s="7"/>
      <c r="AA12" s="7"/>
    </row>
    <row r="13" spans="1:35" x14ac:dyDescent="0.3">
      <c r="A13" s="7">
        <v>1002</v>
      </c>
      <c r="B13" s="7">
        <v>78</v>
      </c>
      <c r="C13">
        <v>10</v>
      </c>
      <c r="D13">
        <v>1</v>
      </c>
      <c r="E13">
        <v>10</v>
      </c>
      <c r="F13" s="7"/>
      <c r="R13" s="7"/>
      <c r="S13" s="7"/>
      <c r="T13" s="7"/>
      <c r="U13" s="7"/>
      <c r="V13" s="7"/>
      <c r="W13" s="7"/>
      <c r="X13" s="7"/>
      <c r="Y13" s="7"/>
      <c r="AA13" s="7"/>
    </row>
    <row r="14" spans="1:35" x14ac:dyDescent="0.3">
      <c r="A14" s="7">
        <v>2000</v>
      </c>
      <c r="B14" s="8">
        <v>1</v>
      </c>
      <c r="C14" s="6">
        <v>250</v>
      </c>
      <c r="D14" s="6">
        <v>1</v>
      </c>
      <c r="E14" s="6">
        <v>10</v>
      </c>
      <c r="AD14" s="9"/>
      <c r="AE14" s="10"/>
      <c r="AF14" s="10"/>
    </row>
    <row r="15" spans="1:35" x14ac:dyDescent="0.3">
      <c r="A15" s="7">
        <v>2001</v>
      </c>
      <c r="B15" s="8">
        <v>15</v>
      </c>
      <c r="C15">
        <v>132</v>
      </c>
      <c r="D15">
        <v>2</v>
      </c>
      <c r="E15" s="6">
        <v>50</v>
      </c>
      <c r="R15"/>
      <c r="S15"/>
      <c r="T15"/>
      <c r="U15"/>
      <c r="V15"/>
      <c r="W15"/>
      <c r="X15"/>
      <c r="Y15"/>
      <c r="AA15"/>
      <c r="AD15" s="9"/>
      <c r="AE15" s="10"/>
      <c r="AF15" s="10"/>
    </row>
    <row r="16" spans="1:35" x14ac:dyDescent="0.3">
      <c r="A16" s="7">
        <v>2500</v>
      </c>
      <c r="B16" s="8">
        <v>1</v>
      </c>
      <c r="C16">
        <v>250</v>
      </c>
      <c r="D16">
        <v>1</v>
      </c>
      <c r="E16">
        <v>10</v>
      </c>
      <c r="R16"/>
      <c r="S16"/>
      <c r="T16"/>
      <c r="U16"/>
      <c r="V16"/>
      <c r="W16"/>
      <c r="X16"/>
      <c r="Y16"/>
      <c r="AA16"/>
      <c r="AD16" s="9"/>
      <c r="AE16" s="10"/>
      <c r="AF16" s="10"/>
    </row>
    <row r="17" spans="1:32" x14ac:dyDescent="0.3">
      <c r="A17" s="7">
        <v>2501</v>
      </c>
      <c r="B17" s="8">
        <v>15</v>
      </c>
      <c r="C17">
        <v>132</v>
      </c>
      <c r="D17">
        <v>2</v>
      </c>
      <c r="E17">
        <v>50</v>
      </c>
      <c r="R17"/>
      <c r="S17"/>
      <c r="T17"/>
      <c r="U17"/>
      <c r="V17"/>
      <c r="W17"/>
      <c r="X17"/>
      <c r="Y17"/>
      <c r="AA17"/>
      <c r="AD17" s="9"/>
      <c r="AE17" s="10"/>
      <c r="AF17" s="10"/>
    </row>
    <row r="18" spans="1:32" x14ac:dyDescent="0.3">
      <c r="A18" s="7">
        <v>2502</v>
      </c>
      <c r="B18" s="8">
        <v>78</v>
      </c>
      <c r="C18">
        <v>1</v>
      </c>
      <c r="D18">
        <v>1</v>
      </c>
      <c r="E18">
        <v>10</v>
      </c>
      <c r="R18"/>
      <c r="S18"/>
      <c r="T18"/>
      <c r="U18"/>
      <c r="V18"/>
      <c r="W18"/>
      <c r="X18"/>
      <c r="Y18"/>
      <c r="AA18"/>
      <c r="AD18" s="9"/>
      <c r="AE18" s="10"/>
      <c r="AF18" s="10"/>
    </row>
    <row r="19" spans="1:32" x14ac:dyDescent="0.3">
      <c r="A19" s="7">
        <v>3000</v>
      </c>
      <c r="B19" s="8">
        <v>1</v>
      </c>
      <c r="C19">
        <v>250</v>
      </c>
      <c r="D19">
        <v>1</v>
      </c>
      <c r="E19">
        <v>10</v>
      </c>
      <c r="R19"/>
      <c r="S19"/>
      <c r="T19"/>
      <c r="U19"/>
      <c r="V19"/>
      <c r="W19"/>
      <c r="X19"/>
      <c r="Y19"/>
      <c r="AA19"/>
      <c r="AD19" s="9"/>
      <c r="AE19" s="10"/>
      <c r="AF19" s="10"/>
    </row>
    <row r="20" spans="1:32" x14ac:dyDescent="0.3">
      <c r="A20" s="7">
        <v>3001</v>
      </c>
      <c r="B20" s="8">
        <v>15</v>
      </c>
      <c r="C20">
        <v>132</v>
      </c>
      <c r="D20">
        <v>2</v>
      </c>
      <c r="E20">
        <v>50</v>
      </c>
      <c r="R20"/>
      <c r="S20"/>
      <c r="T20"/>
      <c r="U20"/>
      <c r="V20"/>
      <c r="W20"/>
      <c r="X20"/>
      <c r="Y20"/>
      <c r="AA20"/>
      <c r="AD20" s="9"/>
      <c r="AE20" s="10"/>
      <c r="AF20" s="10"/>
    </row>
    <row r="21" spans="1:32" x14ac:dyDescent="0.3">
      <c r="A21" s="7">
        <v>3002</v>
      </c>
      <c r="B21" s="8">
        <v>78</v>
      </c>
      <c r="C21" s="19">
        <v>10</v>
      </c>
      <c r="D21">
        <v>1</v>
      </c>
      <c r="E21">
        <v>10</v>
      </c>
      <c r="R21"/>
      <c r="S21"/>
      <c r="T21"/>
      <c r="U21"/>
      <c r="V21"/>
      <c r="W21"/>
      <c r="X21"/>
      <c r="Y21"/>
      <c r="AA21"/>
      <c r="AD21" s="9"/>
      <c r="AE21" s="10"/>
      <c r="AF21" s="10"/>
    </row>
    <row r="22" spans="1:32" x14ac:dyDescent="0.3">
      <c r="A22" s="7">
        <v>9999</v>
      </c>
      <c r="B22" s="7"/>
    </row>
    <row r="23" spans="1:32" x14ac:dyDescent="0.3">
      <c r="B23" s="7"/>
      <c r="C23" s="7"/>
    </row>
    <row r="24" spans="1:32" s="7" customFormat="1" ht="18" x14ac:dyDescent="0.35">
      <c r="A24" s="11" t="s">
        <v>72</v>
      </c>
      <c r="C24" s="7" t="s">
        <v>68</v>
      </c>
      <c r="D24" s="11">
        <v>1</v>
      </c>
      <c r="E24" s="11">
        <v>2</v>
      </c>
      <c r="F24" s="11">
        <v>3</v>
      </c>
      <c r="G24" s="11">
        <v>4</v>
      </c>
      <c r="H24" s="11">
        <v>5</v>
      </c>
      <c r="I24" s="11">
        <v>6</v>
      </c>
      <c r="J24" s="11">
        <v>7</v>
      </c>
      <c r="K24" s="11">
        <v>8</v>
      </c>
      <c r="L24" s="11">
        <v>9</v>
      </c>
      <c r="M24" s="11">
        <v>10</v>
      </c>
      <c r="N24" s="11">
        <v>11</v>
      </c>
      <c r="O24" s="11">
        <v>12</v>
      </c>
      <c r="P24" s="11">
        <v>13</v>
      </c>
      <c r="Q24" s="11">
        <v>14</v>
      </c>
      <c r="R24" s="11">
        <v>15</v>
      </c>
      <c r="S24" s="11">
        <v>16</v>
      </c>
      <c r="T24" s="11">
        <v>17</v>
      </c>
      <c r="U24" s="11">
        <v>18</v>
      </c>
      <c r="V24" s="11">
        <v>19</v>
      </c>
      <c r="W24" s="11">
        <v>20</v>
      </c>
      <c r="X24" s="11">
        <v>21</v>
      </c>
      <c r="Y24" s="11">
        <v>22</v>
      </c>
      <c r="Z24" s="11">
        <v>23</v>
      </c>
      <c r="AA24" s="11">
        <v>24</v>
      </c>
      <c r="AB24" s="11">
        <v>25</v>
      </c>
      <c r="AC24" s="11">
        <v>9999</v>
      </c>
    </row>
    <row r="25" spans="1:32" x14ac:dyDescent="0.3">
      <c r="A25" s="7" t="s">
        <v>75</v>
      </c>
      <c r="B25" s="7"/>
      <c r="C25" s="7"/>
      <c r="D25" s="10" t="s">
        <v>8</v>
      </c>
      <c r="E25" s="10" t="s">
        <v>2</v>
      </c>
      <c r="F25" s="10" t="s">
        <v>4</v>
      </c>
      <c r="G25" s="10" t="s">
        <v>73</v>
      </c>
      <c r="H25" s="10" t="s">
        <v>74</v>
      </c>
      <c r="I25" s="9" t="s">
        <v>84</v>
      </c>
      <c r="J25" s="9" t="s">
        <v>85</v>
      </c>
      <c r="K25" s="9" t="s">
        <v>87</v>
      </c>
      <c r="L25" s="10" t="s">
        <v>38</v>
      </c>
      <c r="M25" s="7" t="s">
        <v>94</v>
      </c>
      <c r="N25" s="7" t="s">
        <v>95</v>
      </c>
      <c r="O25" s="7" t="s">
        <v>97</v>
      </c>
      <c r="P25" s="7" t="s">
        <v>99</v>
      </c>
      <c r="Q25" s="7" t="s">
        <v>98</v>
      </c>
      <c r="R25" s="15" t="s">
        <v>105</v>
      </c>
      <c r="S25" s="16" t="s">
        <v>107</v>
      </c>
      <c r="T25" s="16" t="s">
        <v>108</v>
      </c>
      <c r="U25" s="17" t="s">
        <v>106</v>
      </c>
      <c r="V25" s="17" t="s">
        <v>109</v>
      </c>
      <c r="W25" s="17" t="s">
        <v>110</v>
      </c>
      <c r="X25" t="s">
        <v>8</v>
      </c>
      <c r="Y25" t="s">
        <v>8</v>
      </c>
      <c r="Z25" t="s">
        <v>8</v>
      </c>
      <c r="AA25" t="s">
        <v>8</v>
      </c>
      <c r="AB25" s="1" t="s">
        <v>6</v>
      </c>
    </row>
    <row r="26" spans="1:32" x14ac:dyDescent="0.3">
      <c r="A26" s="6" t="s">
        <v>1</v>
      </c>
      <c r="C26" s="6" t="s">
        <v>43</v>
      </c>
      <c r="D26" s="6">
        <f>water!D4</f>
        <v>7</v>
      </c>
      <c r="E26" s="6">
        <f>glucose!D4</f>
        <v>7</v>
      </c>
      <c r="F26" s="6">
        <f>sucrose!D4</f>
        <v>7</v>
      </c>
      <c r="G26" s="6">
        <f>'milk choc'!D4</f>
        <v>7</v>
      </c>
      <c r="H26" s="12">
        <f>'milk chocolate arabinose'!D4</f>
        <v>7</v>
      </c>
      <c r="I26" s="6">
        <f>'gastic milk choc'!D4</f>
        <v>7</v>
      </c>
      <c r="J26" s="6">
        <f>'gastic milk choc arab'!D4</f>
        <v>7</v>
      </c>
      <c r="K26" s="6">
        <f>emulsie!D4</f>
        <v>7</v>
      </c>
      <c r="L26" s="6">
        <f>arabinose!D4</f>
        <v>7</v>
      </c>
      <c r="M26" s="6">
        <v>7</v>
      </c>
      <c r="N26" s="6">
        <v>7</v>
      </c>
      <c r="O26" s="6">
        <v>7</v>
      </c>
      <c r="P26">
        <v>7</v>
      </c>
      <c r="Q26">
        <v>7</v>
      </c>
      <c r="R26" s="15">
        <v>7</v>
      </c>
      <c r="S26" s="15">
        <v>7</v>
      </c>
      <c r="T26" s="15">
        <v>7</v>
      </c>
      <c r="U26" s="17">
        <v>7</v>
      </c>
      <c r="V26" s="17">
        <v>7</v>
      </c>
      <c r="W26" s="17">
        <v>7</v>
      </c>
      <c r="X26">
        <v>0</v>
      </c>
      <c r="Y26">
        <v>0</v>
      </c>
      <c r="Z26">
        <v>0</v>
      </c>
      <c r="AA26">
        <v>0</v>
      </c>
      <c r="AB26" s="7">
        <v>7</v>
      </c>
    </row>
    <row r="27" spans="1:32" x14ac:dyDescent="0.3">
      <c r="A27" s="6" t="s">
        <v>42</v>
      </c>
      <c r="C27" s="6" t="s">
        <v>104</v>
      </c>
      <c r="D27" s="6">
        <f>water!D5</f>
        <v>0</v>
      </c>
      <c r="E27" s="6">
        <v>1</v>
      </c>
      <c r="F27" s="6">
        <v>1</v>
      </c>
      <c r="G27" s="6">
        <f>'milk choc'!D5</f>
        <v>1</v>
      </c>
      <c r="H27" s="12">
        <f>'milk chocolate arabinose'!D5</f>
        <v>1</v>
      </c>
      <c r="I27" s="6">
        <v>0</v>
      </c>
      <c r="J27" s="6">
        <v>0</v>
      </c>
      <c r="K27" s="6">
        <f>emulsie!D5</f>
        <v>0</v>
      </c>
      <c r="L27" s="6">
        <f>arabinose!D5</f>
        <v>1</v>
      </c>
      <c r="M27" s="6">
        <v>2</v>
      </c>
      <c r="N27" s="6">
        <v>1</v>
      </c>
      <c r="O27" s="6">
        <v>1</v>
      </c>
      <c r="P27">
        <v>1</v>
      </c>
      <c r="Q27">
        <v>1</v>
      </c>
      <c r="R27" s="15">
        <v>20</v>
      </c>
      <c r="S27" s="15">
        <v>5</v>
      </c>
      <c r="T27" s="15">
        <v>1</v>
      </c>
      <c r="U27" s="17">
        <v>20</v>
      </c>
      <c r="V27" s="17">
        <v>5</v>
      </c>
      <c r="W27" s="17">
        <v>1</v>
      </c>
      <c r="X27">
        <v>0</v>
      </c>
      <c r="Y27">
        <v>0</v>
      </c>
      <c r="Z27">
        <v>0</v>
      </c>
      <c r="AA27">
        <v>0</v>
      </c>
      <c r="AB27" s="7">
        <v>1</v>
      </c>
    </row>
    <row r="28" spans="1:32" x14ac:dyDescent="0.3">
      <c r="A28" s="6" t="s">
        <v>44</v>
      </c>
      <c r="C28" s="6" t="s">
        <v>45</v>
      </c>
      <c r="D28" s="6">
        <f>water!D6</f>
        <v>1</v>
      </c>
      <c r="E28" s="6">
        <f>glucose!D6</f>
        <v>1</v>
      </c>
      <c r="F28" s="6">
        <f>sucrose!D6</f>
        <v>1</v>
      </c>
      <c r="G28" s="6">
        <f>'milk choc'!D6</f>
        <v>1</v>
      </c>
      <c r="H28" s="12">
        <f>'milk chocolate arabinose'!D6</f>
        <v>1</v>
      </c>
      <c r="I28" s="6">
        <v>1000</v>
      </c>
      <c r="J28" s="6">
        <v>1000</v>
      </c>
      <c r="K28" s="6">
        <f>emulsie!D6</f>
        <v>1</v>
      </c>
      <c r="L28" s="6">
        <f>arabinose!D6</f>
        <v>1</v>
      </c>
      <c r="M28" s="6">
        <v>1000</v>
      </c>
      <c r="N28" s="6">
        <v>1</v>
      </c>
      <c r="O28" s="6">
        <v>1</v>
      </c>
      <c r="P28">
        <v>10000</v>
      </c>
      <c r="Q28">
        <v>10000</v>
      </c>
      <c r="R28" s="15">
        <v>1000</v>
      </c>
      <c r="S28" s="15">
        <v>10</v>
      </c>
      <c r="T28" s="15">
        <v>10</v>
      </c>
      <c r="U28" s="17">
        <v>1000</v>
      </c>
      <c r="V28" s="17">
        <v>10</v>
      </c>
      <c r="W28" s="17">
        <v>10</v>
      </c>
      <c r="X28">
        <v>0</v>
      </c>
      <c r="Y28">
        <v>0</v>
      </c>
      <c r="Z28">
        <v>0</v>
      </c>
      <c r="AA28">
        <v>0</v>
      </c>
      <c r="AB28" s="7">
        <v>1</v>
      </c>
    </row>
    <row r="29" spans="1:32" s="1" customFormat="1" x14ac:dyDescent="0.3">
      <c r="A29" s="1" t="s">
        <v>34</v>
      </c>
      <c r="C29" s="1" t="s">
        <v>27</v>
      </c>
      <c r="D29" s="1">
        <v>0.1</v>
      </c>
      <c r="E29" s="1">
        <v>0.1</v>
      </c>
      <c r="F29" s="1">
        <v>0.1</v>
      </c>
      <c r="G29" s="1">
        <v>1</v>
      </c>
      <c r="H29" s="13">
        <v>1</v>
      </c>
      <c r="I29" s="1">
        <v>5</v>
      </c>
      <c r="J29" s="1">
        <v>5</v>
      </c>
      <c r="K29" s="1">
        <f>emulsie!D7</f>
        <v>1</v>
      </c>
      <c r="L29" s="1">
        <v>0.1</v>
      </c>
      <c r="M29" s="1">
        <v>10</v>
      </c>
      <c r="N29" s="1">
        <v>50</v>
      </c>
      <c r="O29" s="1">
        <v>1</v>
      </c>
      <c r="P29" s="1">
        <v>10</v>
      </c>
      <c r="Q29" s="1">
        <v>20</v>
      </c>
      <c r="R29" s="16">
        <v>0.5</v>
      </c>
      <c r="S29" s="16">
        <v>50</v>
      </c>
      <c r="T29" s="16">
        <v>50</v>
      </c>
      <c r="U29" s="18">
        <v>0.5</v>
      </c>
      <c r="V29" s="18">
        <v>50</v>
      </c>
      <c r="W29" s="18">
        <v>50</v>
      </c>
      <c r="X29" s="1">
        <v>0.1</v>
      </c>
      <c r="Y29" s="1">
        <v>0.1</v>
      </c>
      <c r="Z29" s="1">
        <v>0.1</v>
      </c>
      <c r="AA29" s="1">
        <v>0.1</v>
      </c>
      <c r="AB29" s="1">
        <v>1</v>
      </c>
    </row>
    <row r="30" spans="1:32" x14ac:dyDescent="0.3">
      <c r="C30" s="6" t="s">
        <v>80</v>
      </c>
      <c r="D30" s="6">
        <f>water!D8</f>
        <v>0</v>
      </c>
      <c r="E30" s="6">
        <f>glucose!D8</f>
        <v>0</v>
      </c>
      <c r="F30" s="6">
        <f>sucrose!D8</f>
        <v>0</v>
      </c>
      <c r="G30" s="6">
        <f>'milk choc'!D8</f>
        <v>6</v>
      </c>
      <c r="H30" s="12">
        <v>7</v>
      </c>
      <c r="I30" s="6">
        <f>'gastic milk choc'!D8</f>
        <v>0</v>
      </c>
      <c r="J30" s="6">
        <f>'gastic milk choc arab'!D8</f>
        <v>0</v>
      </c>
      <c r="K30" s="6">
        <f>emulsie!D8</f>
        <v>0</v>
      </c>
      <c r="L30" s="6">
        <f>arabinose!D8</f>
        <v>0</v>
      </c>
      <c r="M30" s="6">
        <v>0</v>
      </c>
      <c r="N30" s="6">
        <v>0</v>
      </c>
      <c r="O30" s="6">
        <v>0</v>
      </c>
      <c r="P30">
        <v>10</v>
      </c>
      <c r="Q30">
        <v>11</v>
      </c>
      <c r="R30" s="15">
        <v>16</v>
      </c>
      <c r="S30" s="15">
        <v>17</v>
      </c>
      <c r="T30" s="15">
        <v>0</v>
      </c>
      <c r="U30" s="17">
        <v>19</v>
      </c>
      <c r="V30" s="17">
        <v>20</v>
      </c>
      <c r="W30" s="17">
        <v>0</v>
      </c>
      <c r="X30" s="6">
        <v>0</v>
      </c>
      <c r="Y30" s="6">
        <v>0</v>
      </c>
      <c r="Z30" s="6">
        <v>0</v>
      </c>
      <c r="AA30" s="6">
        <v>0</v>
      </c>
      <c r="AB30" s="7">
        <v>0</v>
      </c>
      <c r="AC30" s="10"/>
    </row>
    <row r="31" spans="1:32" x14ac:dyDescent="0.3">
      <c r="C31" s="6" t="s">
        <v>82</v>
      </c>
      <c r="D31" s="6">
        <f>water!D9</f>
        <v>0</v>
      </c>
      <c r="E31" s="6">
        <f>glucose!D9</f>
        <v>0</v>
      </c>
      <c r="F31" s="6">
        <f>sucrose!D9</f>
        <v>0</v>
      </c>
      <c r="G31" s="6">
        <v>95</v>
      </c>
      <c r="H31" s="12">
        <v>95</v>
      </c>
      <c r="I31" s="6">
        <f>'gastic milk choc'!D9</f>
        <v>0</v>
      </c>
      <c r="J31" s="6">
        <f>'gastic milk choc arab'!D9</f>
        <v>0</v>
      </c>
      <c r="K31" s="6">
        <f>emulsie!D9</f>
        <v>0</v>
      </c>
      <c r="L31" s="6">
        <f>arabinose!D9</f>
        <v>0</v>
      </c>
      <c r="M31" s="6">
        <v>0</v>
      </c>
      <c r="N31" s="6">
        <v>0</v>
      </c>
      <c r="O31" s="6">
        <v>0</v>
      </c>
      <c r="P31">
        <v>50</v>
      </c>
      <c r="Q31">
        <v>100</v>
      </c>
      <c r="R31" s="15">
        <v>60</v>
      </c>
      <c r="S31" s="15">
        <v>100</v>
      </c>
      <c r="T31" s="15">
        <v>0</v>
      </c>
      <c r="U31" s="17">
        <v>70</v>
      </c>
      <c r="V31" s="17">
        <v>100</v>
      </c>
      <c r="W31" s="17">
        <v>0</v>
      </c>
      <c r="X31" s="6">
        <v>0</v>
      </c>
      <c r="Y31" s="6">
        <v>0</v>
      </c>
      <c r="Z31" s="6">
        <v>0</v>
      </c>
      <c r="AA31" s="6">
        <v>0</v>
      </c>
      <c r="AB31" s="7">
        <v>0</v>
      </c>
      <c r="AC31" s="10"/>
    </row>
    <row r="32" spans="1:32" x14ac:dyDescent="0.3">
      <c r="C32" s="6" t="s">
        <v>81</v>
      </c>
      <c r="D32" s="6">
        <f>water!D10</f>
        <v>0</v>
      </c>
      <c r="E32" s="6">
        <f>glucose!D10</f>
        <v>0</v>
      </c>
      <c r="F32" s="6">
        <f>sucrose!D10</f>
        <v>0</v>
      </c>
      <c r="G32" s="6">
        <f>'milk choc'!D10</f>
        <v>0</v>
      </c>
      <c r="H32" s="12">
        <f>'milk chocolate arabinose'!D10</f>
        <v>0</v>
      </c>
      <c r="I32" s="6">
        <f>'gastic milk choc'!D10</f>
        <v>0</v>
      </c>
      <c r="J32" s="6">
        <f>'gastic milk choc arab'!D10</f>
        <v>0</v>
      </c>
      <c r="K32" s="6">
        <f>emulsie!D10</f>
        <v>0</v>
      </c>
      <c r="L32" s="6">
        <f>arabinose!D10</f>
        <v>0</v>
      </c>
      <c r="M32" s="6">
        <v>0</v>
      </c>
      <c r="N32" s="6">
        <v>0</v>
      </c>
      <c r="O32" s="6">
        <v>0</v>
      </c>
      <c r="P32">
        <v>0</v>
      </c>
      <c r="Q32">
        <v>0</v>
      </c>
      <c r="R32" s="15">
        <v>0</v>
      </c>
      <c r="S32" s="15">
        <v>0</v>
      </c>
      <c r="T32" s="15">
        <v>0</v>
      </c>
      <c r="U32" s="17">
        <v>0</v>
      </c>
      <c r="V32" s="17">
        <v>0</v>
      </c>
      <c r="W32" s="17">
        <v>0</v>
      </c>
      <c r="X32" s="6">
        <v>0</v>
      </c>
      <c r="Y32" s="6">
        <v>0</v>
      </c>
      <c r="Z32" s="6">
        <v>0</v>
      </c>
      <c r="AA32" s="6">
        <v>0</v>
      </c>
      <c r="AB32" s="7">
        <v>0</v>
      </c>
      <c r="AC32" s="10"/>
    </row>
    <row r="33" spans="1:29" x14ac:dyDescent="0.3">
      <c r="C33" s="6" t="s">
        <v>82</v>
      </c>
      <c r="D33" s="6">
        <f>water!D11</f>
        <v>0</v>
      </c>
      <c r="E33" s="6">
        <f>glucose!D11</f>
        <v>0</v>
      </c>
      <c r="F33" s="6">
        <f>sucrose!D11</f>
        <v>0</v>
      </c>
      <c r="G33" s="6">
        <f>'milk choc'!D11</f>
        <v>0</v>
      </c>
      <c r="H33" s="12">
        <f>'milk chocolate arabinose'!D11</f>
        <v>0</v>
      </c>
      <c r="I33" s="6">
        <f>'gastic milk choc'!D11</f>
        <v>0</v>
      </c>
      <c r="J33" s="6">
        <f>'gastic milk choc arab'!D11</f>
        <v>0</v>
      </c>
      <c r="K33" s="6">
        <f>emulsie!D11</f>
        <v>0</v>
      </c>
      <c r="L33" s="6">
        <f>arabinose!D11</f>
        <v>0</v>
      </c>
      <c r="M33" s="6">
        <v>0</v>
      </c>
      <c r="N33" s="6">
        <v>0</v>
      </c>
      <c r="O33" s="6">
        <v>0</v>
      </c>
      <c r="P33">
        <v>0</v>
      </c>
      <c r="Q33">
        <v>0</v>
      </c>
      <c r="R33" s="15">
        <v>0</v>
      </c>
      <c r="S33" s="15">
        <v>0</v>
      </c>
      <c r="T33" s="15">
        <v>0</v>
      </c>
      <c r="U33" s="17">
        <v>0</v>
      </c>
      <c r="V33" s="17">
        <v>0</v>
      </c>
      <c r="W33" s="17">
        <v>0</v>
      </c>
      <c r="X33" s="6">
        <v>0</v>
      </c>
      <c r="Y33" s="6">
        <v>0</v>
      </c>
      <c r="Z33" s="6">
        <v>0</v>
      </c>
      <c r="AA33" s="6">
        <v>0</v>
      </c>
      <c r="AB33" s="7">
        <v>0</v>
      </c>
      <c r="AC33" s="10"/>
    </row>
    <row r="34" spans="1:29" s="1" customFormat="1" x14ac:dyDescent="0.3">
      <c r="A34" s="1" t="s">
        <v>35</v>
      </c>
      <c r="C34" s="1" t="s">
        <v>27</v>
      </c>
      <c r="D34" s="1">
        <v>0.1</v>
      </c>
      <c r="E34" s="1">
        <v>0.1</v>
      </c>
      <c r="F34" s="1">
        <v>0.1</v>
      </c>
      <c r="G34" s="1">
        <v>5</v>
      </c>
      <c r="H34" s="13">
        <v>5</v>
      </c>
      <c r="I34" s="1">
        <v>50</v>
      </c>
      <c r="J34" s="1">
        <v>50</v>
      </c>
      <c r="K34" s="1">
        <f>emulsie!D12</f>
        <v>1</v>
      </c>
      <c r="L34" s="1">
        <v>0.1</v>
      </c>
      <c r="M34" s="1">
        <v>10</v>
      </c>
      <c r="N34" s="1">
        <v>50</v>
      </c>
      <c r="O34" s="1">
        <v>1</v>
      </c>
      <c r="P34" s="1">
        <v>10</v>
      </c>
      <c r="Q34" s="1">
        <v>100</v>
      </c>
      <c r="R34" s="16">
        <v>50</v>
      </c>
      <c r="S34" s="16">
        <v>50</v>
      </c>
      <c r="T34" s="16">
        <v>50</v>
      </c>
      <c r="U34" s="18">
        <v>50</v>
      </c>
      <c r="V34" s="18">
        <v>50</v>
      </c>
      <c r="W34" s="18">
        <v>50</v>
      </c>
      <c r="X34" s="1">
        <v>0.1</v>
      </c>
      <c r="Y34" s="1">
        <v>0.1</v>
      </c>
      <c r="Z34" s="1">
        <v>0.1</v>
      </c>
      <c r="AA34" s="1">
        <v>0.1</v>
      </c>
      <c r="AB34" s="1">
        <v>1</v>
      </c>
    </row>
    <row r="35" spans="1:29" x14ac:dyDescent="0.3">
      <c r="C35" s="6" t="s">
        <v>80</v>
      </c>
      <c r="D35" s="6">
        <f>water!D13</f>
        <v>0</v>
      </c>
      <c r="E35" s="6">
        <f>glucose!D13</f>
        <v>0</v>
      </c>
      <c r="F35" s="6">
        <f>sucrose!D13</f>
        <v>0</v>
      </c>
      <c r="G35" s="6">
        <f>'milk choc'!D13</f>
        <v>6</v>
      </c>
      <c r="H35" s="12">
        <v>7</v>
      </c>
      <c r="I35" s="6">
        <f>'gastic milk choc'!D13</f>
        <v>0</v>
      </c>
      <c r="J35" s="6">
        <f>'gastic milk choc arab'!D13</f>
        <v>0</v>
      </c>
      <c r="K35" s="6">
        <f>emulsie!D13</f>
        <v>0</v>
      </c>
      <c r="L35" s="6">
        <f>arabinose!D13</f>
        <v>0</v>
      </c>
      <c r="M35" s="6">
        <v>0</v>
      </c>
      <c r="N35" s="6">
        <v>0</v>
      </c>
      <c r="O35" s="6">
        <v>0</v>
      </c>
      <c r="P35">
        <v>10</v>
      </c>
      <c r="Q35">
        <v>11</v>
      </c>
      <c r="R35" s="15">
        <v>16</v>
      </c>
      <c r="S35" s="15">
        <v>17</v>
      </c>
      <c r="T35" s="15">
        <v>0</v>
      </c>
      <c r="U35" s="17">
        <v>19</v>
      </c>
      <c r="V35" s="17">
        <v>20</v>
      </c>
      <c r="W35" s="17">
        <v>0</v>
      </c>
      <c r="X35" s="6">
        <v>0</v>
      </c>
      <c r="Y35" s="6">
        <v>0</v>
      </c>
      <c r="Z35" s="6">
        <v>0</v>
      </c>
      <c r="AA35" s="6">
        <v>0</v>
      </c>
      <c r="AB35" s="7">
        <v>0</v>
      </c>
      <c r="AC35" s="10"/>
    </row>
    <row r="36" spans="1:29" x14ac:dyDescent="0.3">
      <c r="C36" s="6" t="s">
        <v>82</v>
      </c>
      <c r="D36" s="6">
        <f>water!D14</f>
        <v>0</v>
      </c>
      <c r="E36" s="6">
        <f>glucose!D14</f>
        <v>0</v>
      </c>
      <c r="F36" s="6">
        <f>sucrose!D14</f>
        <v>0</v>
      </c>
      <c r="G36" s="6">
        <v>100</v>
      </c>
      <c r="H36" s="12">
        <v>100</v>
      </c>
      <c r="I36" s="6">
        <f>'gastic milk choc'!D14</f>
        <v>0</v>
      </c>
      <c r="J36" s="6">
        <f>'gastic milk choc arab'!D14</f>
        <v>0</v>
      </c>
      <c r="K36" s="6">
        <f>emulsie!D14</f>
        <v>0</v>
      </c>
      <c r="L36" s="6">
        <f>arabinose!D14</f>
        <v>0</v>
      </c>
      <c r="M36" s="6">
        <v>0</v>
      </c>
      <c r="N36" s="6">
        <v>0</v>
      </c>
      <c r="O36" s="6">
        <v>0</v>
      </c>
      <c r="P36">
        <v>50</v>
      </c>
      <c r="Q36">
        <v>100</v>
      </c>
      <c r="R36" s="15">
        <v>60</v>
      </c>
      <c r="S36" s="15">
        <v>100</v>
      </c>
      <c r="T36" s="15">
        <v>0</v>
      </c>
      <c r="U36" s="17">
        <v>60</v>
      </c>
      <c r="V36" s="17">
        <v>100</v>
      </c>
      <c r="W36" s="17">
        <v>0</v>
      </c>
      <c r="X36" s="6">
        <v>0</v>
      </c>
      <c r="Y36" s="6">
        <v>0</v>
      </c>
      <c r="Z36" s="6">
        <v>0</v>
      </c>
      <c r="AA36" s="6">
        <v>0</v>
      </c>
      <c r="AB36" s="7">
        <v>0</v>
      </c>
      <c r="AC36" s="10"/>
    </row>
    <row r="37" spans="1:29" x14ac:dyDescent="0.3">
      <c r="C37" s="6" t="s">
        <v>81</v>
      </c>
      <c r="D37" s="6">
        <f>water!D15</f>
        <v>0</v>
      </c>
      <c r="E37" s="6">
        <f>glucose!D15</f>
        <v>0</v>
      </c>
      <c r="F37" s="6">
        <f>sucrose!D15</f>
        <v>0</v>
      </c>
      <c r="G37" s="6">
        <f>'milk choc'!D15</f>
        <v>0</v>
      </c>
      <c r="H37" s="12">
        <f>'milk chocolate arabinose'!D15</f>
        <v>0</v>
      </c>
      <c r="I37" s="6">
        <f>'gastic milk choc'!D15</f>
        <v>0</v>
      </c>
      <c r="J37" s="6">
        <f>'gastic milk choc arab'!D15</f>
        <v>0</v>
      </c>
      <c r="K37" s="6">
        <f>emulsie!D15</f>
        <v>0</v>
      </c>
      <c r="L37" s="6">
        <f>arabinose!D15</f>
        <v>0</v>
      </c>
      <c r="M37" s="6">
        <v>0</v>
      </c>
      <c r="N37" s="6">
        <v>0</v>
      </c>
      <c r="O37" s="6">
        <v>0</v>
      </c>
      <c r="P37">
        <v>0</v>
      </c>
      <c r="Q37">
        <v>0</v>
      </c>
      <c r="R37" s="15">
        <v>0</v>
      </c>
      <c r="S37" s="15">
        <v>0</v>
      </c>
      <c r="T37" s="15">
        <v>0</v>
      </c>
      <c r="U37" s="17">
        <v>20</v>
      </c>
      <c r="V37" s="17">
        <v>0</v>
      </c>
      <c r="W37" s="17">
        <v>0</v>
      </c>
      <c r="X37" s="6">
        <v>0</v>
      </c>
      <c r="Y37" s="6">
        <v>0</v>
      </c>
      <c r="Z37" s="6">
        <v>0</v>
      </c>
      <c r="AA37" s="6">
        <v>0</v>
      </c>
      <c r="AB37" s="7">
        <v>0</v>
      </c>
      <c r="AC37" s="10"/>
    </row>
    <row r="38" spans="1:29" x14ac:dyDescent="0.3">
      <c r="C38" s="6" t="s">
        <v>82</v>
      </c>
      <c r="D38" s="6">
        <f>water!D16</f>
        <v>0</v>
      </c>
      <c r="E38" s="6">
        <f>glucose!D16</f>
        <v>0</v>
      </c>
      <c r="F38" s="6">
        <f>sucrose!D16</f>
        <v>0</v>
      </c>
      <c r="G38" s="6">
        <f>'milk choc'!D16</f>
        <v>0</v>
      </c>
      <c r="H38" s="12">
        <f>'milk chocolate arabinose'!D16</f>
        <v>0</v>
      </c>
      <c r="I38" s="6">
        <f>'gastic milk choc'!D16</f>
        <v>0</v>
      </c>
      <c r="J38" s="6">
        <f>'gastic milk choc arab'!D16</f>
        <v>0</v>
      </c>
      <c r="K38" s="6">
        <f>emulsie!D16</f>
        <v>0</v>
      </c>
      <c r="L38" s="6">
        <f>arabinose!D16</f>
        <v>0</v>
      </c>
      <c r="M38" s="6">
        <v>0</v>
      </c>
      <c r="N38" s="6">
        <v>0</v>
      </c>
      <c r="O38" s="6">
        <v>0</v>
      </c>
      <c r="P38">
        <v>0</v>
      </c>
      <c r="Q38">
        <v>0</v>
      </c>
      <c r="R38" s="15">
        <v>40</v>
      </c>
      <c r="S38" s="15">
        <v>0</v>
      </c>
      <c r="T38" s="15">
        <v>0</v>
      </c>
      <c r="U38" s="17">
        <v>40</v>
      </c>
      <c r="V38" s="17">
        <v>0</v>
      </c>
      <c r="W38" s="17">
        <v>0</v>
      </c>
      <c r="X38" s="6">
        <v>0</v>
      </c>
      <c r="Y38" s="6">
        <v>0</v>
      </c>
      <c r="Z38" s="6">
        <v>0</v>
      </c>
      <c r="AA38" s="6">
        <v>0</v>
      </c>
      <c r="AB38" s="7">
        <v>0</v>
      </c>
      <c r="AC38" s="10"/>
    </row>
    <row r="39" spans="1:29" s="1" customFormat="1" x14ac:dyDescent="0.3">
      <c r="A39" s="1" t="s">
        <v>92</v>
      </c>
      <c r="C39" s="1" t="s">
        <v>27</v>
      </c>
      <c r="D39" s="1">
        <v>0.1</v>
      </c>
      <c r="E39" s="1">
        <v>0.1</v>
      </c>
      <c r="F39" s="1">
        <v>0.1</v>
      </c>
      <c r="G39" s="1">
        <v>1</v>
      </c>
      <c r="H39" s="13">
        <v>1</v>
      </c>
      <c r="I39" s="1">
        <v>1</v>
      </c>
      <c r="J39" s="1">
        <v>1</v>
      </c>
      <c r="K39" s="1">
        <f>emulsie!D17</f>
        <v>1</v>
      </c>
      <c r="L39" s="1">
        <v>0.1</v>
      </c>
      <c r="M39" s="1">
        <v>2</v>
      </c>
      <c r="N39" s="1">
        <v>10</v>
      </c>
      <c r="O39" s="1">
        <v>1</v>
      </c>
      <c r="P39" s="1">
        <v>10</v>
      </c>
      <c r="Q39" s="1">
        <v>100</v>
      </c>
      <c r="R39" s="16">
        <v>10</v>
      </c>
      <c r="S39" s="16">
        <v>20</v>
      </c>
      <c r="T39" s="16">
        <v>20</v>
      </c>
      <c r="U39" s="18">
        <v>10</v>
      </c>
      <c r="V39" s="18">
        <v>20</v>
      </c>
      <c r="W39" s="18">
        <v>20</v>
      </c>
      <c r="X39" s="1">
        <v>0.1</v>
      </c>
      <c r="Y39" s="1">
        <v>0.1</v>
      </c>
      <c r="Z39" s="1">
        <v>0.1</v>
      </c>
      <c r="AA39" s="1">
        <v>0.1</v>
      </c>
      <c r="AB39" s="1">
        <v>1</v>
      </c>
      <c r="AC39" s="14"/>
    </row>
    <row r="40" spans="1:29" x14ac:dyDescent="0.3">
      <c r="C40" s="6" t="s">
        <v>80</v>
      </c>
      <c r="D40" s="6">
        <f>water!D18</f>
        <v>0</v>
      </c>
      <c r="E40" s="6">
        <f>glucose!D18</f>
        <v>0</v>
      </c>
      <c r="F40" s="6">
        <f>sucrose!D18</f>
        <v>0</v>
      </c>
      <c r="G40" s="6">
        <v>6</v>
      </c>
      <c r="H40" s="12">
        <v>7</v>
      </c>
      <c r="I40" s="6">
        <f>'gastic milk choc'!D18</f>
        <v>0</v>
      </c>
      <c r="J40" s="6">
        <f>'gastic milk choc arab'!D18</f>
        <v>0</v>
      </c>
      <c r="K40" s="6">
        <f>emulsie!D18</f>
        <v>0</v>
      </c>
      <c r="L40" s="6">
        <f>arabinose!D18</f>
        <v>0</v>
      </c>
      <c r="M40" s="6">
        <v>0</v>
      </c>
      <c r="N40" s="6">
        <v>0</v>
      </c>
      <c r="O40" s="6">
        <v>0</v>
      </c>
      <c r="P40">
        <v>10</v>
      </c>
      <c r="Q40">
        <v>11</v>
      </c>
      <c r="R40" s="15">
        <v>16</v>
      </c>
      <c r="S40" s="15">
        <v>17</v>
      </c>
      <c r="T40" s="15">
        <v>0</v>
      </c>
      <c r="U40" s="17">
        <v>19</v>
      </c>
      <c r="V40" s="17">
        <v>20</v>
      </c>
      <c r="W40" s="17">
        <v>0</v>
      </c>
      <c r="X40" s="6">
        <v>0</v>
      </c>
      <c r="Y40" s="6">
        <v>0</v>
      </c>
      <c r="Z40" s="6">
        <v>0</v>
      </c>
      <c r="AA40" s="6">
        <v>0</v>
      </c>
      <c r="AB40" s="7">
        <v>0</v>
      </c>
      <c r="AC40" s="10"/>
    </row>
    <row r="41" spans="1:29" x14ac:dyDescent="0.3">
      <c r="C41" s="6" t="s">
        <v>82</v>
      </c>
      <c r="D41" s="6">
        <f>water!D19</f>
        <v>0</v>
      </c>
      <c r="E41" s="6">
        <f>glucose!D19</f>
        <v>0</v>
      </c>
      <c r="F41" s="6">
        <f>sucrose!D19</f>
        <v>0</v>
      </c>
      <c r="G41" s="6">
        <v>100</v>
      </c>
      <c r="H41" s="12">
        <v>100</v>
      </c>
      <c r="I41" s="6">
        <f>'gastic milk choc'!D19</f>
        <v>0</v>
      </c>
      <c r="J41" s="6">
        <f>'gastic milk choc arab'!D19</f>
        <v>0</v>
      </c>
      <c r="K41" s="6">
        <f>emulsie!D19</f>
        <v>0</v>
      </c>
      <c r="L41" s="6">
        <f>arabinose!D19</f>
        <v>0</v>
      </c>
      <c r="M41" s="6">
        <v>0</v>
      </c>
      <c r="N41" s="6">
        <v>0</v>
      </c>
      <c r="O41" s="6">
        <v>0</v>
      </c>
      <c r="P41">
        <v>50</v>
      </c>
      <c r="Q41">
        <v>100</v>
      </c>
      <c r="R41" s="15">
        <v>50</v>
      </c>
      <c r="S41" s="15">
        <v>100</v>
      </c>
      <c r="T41" s="15">
        <v>0</v>
      </c>
      <c r="U41" s="17">
        <v>50</v>
      </c>
      <c r="V41" s="17">
        <v>100</v>
      </c>
      <c r="W41" s="17">
        <v>0</v>
      </c>
      <c r="X41" s="6">
        <v>0</v>
      </c>
      <c r="Y41" s="6">
        <v>0</v>
      </c>
      <c r="Z41" s="6">
        <v>0</v>
      </c>
      <c r="AA41" s="6">
        <v>0</v>
      </c>
      <c r="AB41" s="7">
        <v>0</v>
      </c>
      <c r="AC41" s="10"/>
    </row>
    <row r="42" spans="1:29" x14ac:dyDescent="0.3">
      <c r="C42" s="6" t="s">
        <v>81</v>
      </c>
      <c r="D42" s="6">
        <f>water!D20</f>
        <v>0</v>
      </c>
      <c r="E42" s="6">
        <f>glucose!D20</f>
        <v>0</v>
      </c>
      <c r="F42" s="6">
        <f>sucrose!D20</f>
        <v>0</v>
      </c>
      <c r="G42" s="6">
        <f>'milk choc'!D20</f>
        <v>0</v>
      </c>
      <c r="H42" s="12">
        <f>'milk chocolate arabinose'!D20</f>
        <v>0</v>
      </c>
      <c r="I42" s="6">
        <f>'gastic milk choc'!D20</f>
        <v>0</v>
      </c>
      <c r="J42" s="6">
        <f>'gastic milk choc arab'!D20</f>
        <v>0</v>
      </c>
      <c r="K42" s="6">
        <f>emulsie!D20</f>
        <v>0</v>
      </c>
      <c r="L42" s="6">
        <f>arabinose!D20</f>
        <v>0</v>
      </c>
      <c r="M42" s="6">
        <v>0</v>
      </c>
      <c r="N42" s="6">
        <v>0</v>
      </c>
      <c r="O42" s="6">
        <v>0</v>
      </c>
      <c r="P42">
        <v>0</v>
      </c>
      <c r="Q42">
        <v>0</v>
      </c>
      <c r="R42" s="15">
        <v>0</v>
      </c>
      <c r="S42" s="15">
        <v>0</v>
      </c>
      <c r="T42" s="15">
        <v>0</v>
      </c>
      <c r="U42" s="17">
        <v>20</v>
      </c>
      <c r="V42" s="17">
        <v>0</v>
      </c>
      <c r="W42" s="17">
        <v>0</v>
      </c>
      <c r="X42" s="6">
        <v>0</v>
      </c>
      <c r="Y42" s="6">
        <v>0</v>
      </c>
      <c r="Z42" s="6">
        <v>0</v>
      </c>
      <c r="AA42" s="6">
        <v>0</v>
      </c>
      <c r="AB42" s="7">
        <v>0</v>
      </c>
      <c r="AC42" s="10"/>
    </row>
    <row r="43" spans="1:29" x14ac:dyDescent="0.3">
      <c r="C43" s="6" t="s">
        <v>82</v>
      </c>
      <c r="D43" s="6">
        <f>water!D21</f>
        <v>0</v>
      </c>
      <c r="E43" s="6">
        <f>glucose!D21</f>
        <v>0</v>
      </c>
      <c r="F43" s="6">
        <f>sucrose!D21</f>
        <v>0</v>
      </c>
      <c r="G43" s="6">
        <f>'milk choc'!D21</f>
        <v>0</v>
      </c>
      <c r="H43" s="12">
        <f>'milk chocolate arabinose'!D21</f>
        <v>0</v>
      </c>
      <c r="I43" s="6">
        <f>'gastic milk choc'!D21</f>
        <v>0</v>
      </c>
      <c r="J43" s="6">
        <f>'gastic milk choc arab'!D21</f>
        <v>0</v>
      </c>
      <c r="K43" s="6">
        <f>emulsie!D21</f>
        <v>0</v>
      </c>
      <c r="L43" s="6">
        <f>arabinose!D21</f>
        <v>0</v>
      </c>
      <c r="M43" s="6">
        <v>0</v>
      </c>
      <c r="N43" s="6">
        <v>0</v>
      </c>
      <c r="O43" s="6">
        <v>0</v>
      </c>
      <c r="P43">
        <v>0</v>
      </c>
      <c r="Q43">
        <v>0</v>
      </c>
      <c r="R43" s="15">
        <v>50</v>
      </c>
      <c r="S43" s="15">
        <v>0</v>
      </c>
      <c r="T43" s="15">
        <v>0</v>
      </c>
      <c r="U43" s="17">
        <v>50</v>
      </c>
      <c r="V43" s="17">
        <v>0</v>
      </c>
      <c r="W43" s="17">
        <v>0</v>
      </c>
      <c r="X43" s="6">
        <v>0</v>
      </c>
      <c r="Y43" s="6">
        <v>0</v>
      </c>
      <c r="Z43" s="6">
        <v>0</v>
      </c>
      <c r="AA43" s="6">
        <v>0</v>
      </c>
      <c r="AB43" s="7">
        <v>0</v>
      </c>
      <c r="AC43" s="10"/>
    </row>
    <row r="44" spans="1:29" x14ac:dyDescent="0.3">
      <c r="H44" s="12"/>
      <c r="P44"/>
      <c r="Q44"/>
      <c r="S44"/>
      <c r="T44"/>
      <c r="U44"/>
      <c r="V44"/>
      <c r="W44"/>
    </row>
    <row r="45" spans="1:29" x14ac:dyDescent="0.3">
      <c r="B45" s="7"/>
      <c r="C45" s="7"/>
      <c r="H45" s="12"/>
      <c r="P45"/>
      <c r="Q45"/>
      <c r="S45"/>
      <c r="T45"/>
      <c r="U45"/>
      <c r="V45"/>
      <c r="W45"/>
    </row>
    <row r="46" spans="1:29" x14ac:dyDescent="0.3">
      <c r="B46" s="7" t="s">
        <v>26</v>
      </c>
      <c r="C46" s="7"/>
      <c r="H46" s="12"/>
      <c r="P46"/>
      <c r="Q46"/>
      <c r="S46"/>
      <c r="T46"/>
      <c r="U46"/>
      <c r="V46"/>
      <c r="W46"/>
    </row>
    <row r="47" spans="1:29" x14ac:dyDescent="0.3">
      <c r="A47" s="6">
        <v>1</v>
      </c>
      <c r="B47" s="6" t="s">
        <v>8</v>
      </c>
      <c r="C47" s="6" t="s">
        <v>28</v>
      </c>
      <c r="D47" s="6">
        <f>water!D25</f>
        <v>100</v>
      </c>
      <c r="E47" s="6">
        <f>glucose!D25</f>
        <v>0</v>
      </c>
      <c r="F47" s="6">
        <f>sucrose!D25</f>
        <v>0</v>
      </c>
      <c r="G47" s="6">
        <f>'milk choc'!D25</f>
        <v>0</v>
      </c>
      <c r="H47" s="12">
        <f>'milk chocolate arabinose'!D25</f>
        <v>0</v>
      </c>
      <c r="I47" s="6">
        <f>'gastic milk choc'!D25</f>
        <v>36.94</v>
      </c>
      <c r="J47" s="6">
        <f>'gastic milk choc arab'!D25</f>
        <v>36.94</v>
      </c>
      <c r="K47" s="6">
        <f>emulsie!D25</f>
        <v>50</v>
      </c>
      <c r="L47" s="6">
        <f>arabinose!D25</f>
        <v>0</v>
      </c>
      <c r="M47" s="6">
        <v>0</v>
      </c>
      <c r="N47" s="6">
        <v>0</v>
      </c>
      <c r="O47" s="6">
        <v>0</v>
      </c>
      <c r="P47">
        <v>14</v>
      </c>
      <c r="Q47">
        <v>14</v>
      </c>
      <c r="R47" s="6">
        <v>67</v>
      </c>
      <c r="S47">
        <v>67</v>
      </c>
      <c r="T47">
        <v>67</v>
      </c>
      <c r="U47">
        <v>54</v>
      </c>
      <c r="V47">
        <v>54</v>
      </c>
      <c r="W47">
        <v>54</v>
      </c>
      <c r="X47" s="6">
        <v>100</v>
      </c>
      <c r="Y47" s="6">
        <v>100</v>
      </c>
      <c r="Z47" s="6">
        <v>100</v>
      </c>
      <c r="AA47" s="6">
        <v>100</v>
      </c>
      <c r="AB47" s="7">
        <v>0</v>
      </c>
    </row>
    <row r="48" spans="1:29" x14ac:dyDescent="0.3">
      <c r="A48" s="6">
        <v>2</v>
      </c>
      <c r="B48" s="6" t="s">
        <v>36</v>
      </c>
      <c r="C48" s="6" t="s">
        <v>28</v>
      </c>
      <c r="D48" s="6">
        <f>water!D26</f>
        <v>0</v>
      </c>
      <c r="E48" s="6">
        <f>glucose!D26</f>
        <v>0</v>
      </c>
      <c r="F48" s="6">
        <f>sucrose!D26</f>
        <v>0</v>
      </c>
      <c r="G48" s="6">
        <f>'milk choc'!D26</f>
        <v>32.729999999999997</v>
      </c>
      <c r="H48" s="12">
        <f>'milk chocolate arabinose'!D26</f>
        <v>32.729999999999997</v>
      </c>
      <c r="I48" s="6">
        <f>'gastic milk choc'!D26</f>
        <v>29.13</v>
      </c>
      <c r="J48" s="6">
        <f>'gastic milk choc arab'!D26</f>
        <v>29.13</v>
      </c>
      <c r="K48" s="6">
        <f>emulsie!D26</f>
        <v>50</v>
      </c>
      <c r="L48" s="6">
        <f>arabinose!D26</f>
        <v>0</v>
      </c>
      <c r="M48" s="6">
        <v>0</v>
      </c>
      <c r="N48" s="6">
        <v>0</v>
      </c>
      <c r="O48" s="6">
        <v>0</v>
      </c>
      <c r="P48">
        <v>0</v>
      </c>
      <c r="Q48">
        <v>0</v>
      </c>
      <c r="R48" s="6">
        <v>9</v>
      </c>
      <c r="S48">
        <v>9</v>
      </c>
      <c r="T48">
        <v>9</v>
      </c>
      <c r="U48">
        <v>9</v>
      </c>
      <c r="V48">
        <v>9</v>
      </c>
      <c r="W48">
        <v>9</v>
      </c>
      <c r="X48" s="6">
        <v>0</v>
      </c>
      <c r="Y48" s="6">
        <v>0</v>
      </c>
      <c r="Z48" s="6">
        <v>0</v>
      </c>
      <c r="AA48" s="6">
        <v>0</v>
      </c>
      <c r="AB48" s="7">
        <v>0</v>
      </c>
    </row>
    <row r="49" spans="1:28" x14ac:dyDescent="0.3">
      <c r="A49" s="6">
        <v>3</v>
      </c>
      <c r="B49" s="6" t="s">
        <v>2</v>
      </c>
      <c r="C49" s="6" t="s">
        <v>28</v>
      </c>
      <c r="D49" s="6">
        <f>water!D27</f>
        <v>0</v>
      </c>
      <c r="E49" s="6">
        <v>99</v>
      </c>
      <c r="F49" s="6">
        <f>sucrose!D27</f>
        <v>0</v>
      </c>
      <c r="G49" s="6">
        <f>'milk choc'!D27</f>
        <v>0</v>
      </c>
      <c r="H49" s="12">
        <f>'milk chocolate arabinose'!D27</f>
        <v>0</v>
      </c>
      <c r="I49" s="6">
        <f>'gastic milk choc'!D27</f>
        <v>0</v>
      </c>
      <c r="J49" s="6">
        <f>'gastic milk choc arab'!D27</f>
        <v>0</v>
      </c>
      <c r="K49" s="6">
        <f>emulsie!D27</f>
        <v>0</v>
      </c>
      <c r="L49" s="6">
        <f>arabinose!D27</f>
        <v>0</v>
      </c>
      <c r="M49" s="6">
        <v>0</v>
      </c>
      <c r="N49" s="6">
        <v>0</v>
      </c>
      <c r="O49" s="6">
        <v>0</v>
      </c>
      <c r="P49">
        <v>0</v>
      </c>
      <c r="Q49">
        <v>0</v>
      </c>
      <c r="R49" s="6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6">
        <v>0</v>
      </c>
      <c r="Y49" s="6">
        <v>0</v>
      </c>
      <c r="Z49" s="6">
        <v>0</v>
      </c>
      <c r="AA49" s="6">
        <v>0</v>
      </c>
      <c r="AB49" s="7">
        <v>0</v>
      </c>
    </row>
    <row r="50" spans="1:28" x14ac:dyDescent="0.3">
      <c r="A50" s="6">
        <v>4</v>
      </c>
      <c r="B50" s="6" t="s">
        <v>9</v>
      </c>
      <c r="C50" s="6" t="s">
        <v>28</v>
      </c>
      <c r="D50" s="6">
        <f>water!D28</f>
        <v>0</v>
      </c>
      <c r="E50" s="6">
        <f>glucose!D28</f>
        <v>0</v>
      </c>
      <c r="F50" s="6">
        <f>sucrose!D28</f>
        <v>0</v>
      </c>
      <c r="G50" s="6">
        <f>'milk choc'!D28</f>
        <v>1.08</v>
      </c>
      <c r="H50" s="12">
        <f>'milk chocolate arabinose'!D28</f>
        <v>1.08</v>
      </c>
      <c r="I50" s="6">
        <f>'gastic milk choc'!D28</f>
        <v>1.08</v>
      </c>
      <c r="J50" s="6">
        <f>'gastic milk choc arab'!D28</f>
        <v>1.08</v>
      </c>
      <c r="K50" s="6">
        <f>emulsie!D28</f>
        <v>0</v>
      </c>
      <c r="L50" s="6">
        <f>arabinose!D28</f>
        <v>0</v>
      </c>
      <c r="M50" s="6">
        <v>0</v>
      </c>
      <c r="N50" s="6">
        <v>0</v>
      </c>
      <c r="O50" s="6">
        <v>0</v>
      </c>
      <c r="P50">
        <v>0</v>
      </c>
      <c r="Q50">
        <v>0</v>
      </c>
      <c r="R50" s="6">
        <v>6</v>
      </c>
      <c r="S50">
        <v>6</v>
      </c>
      <c r="T50">
        <v>6</v>
      </c>
      <c r="U50">
        <v>6</v>
      </c>
      <c r="V50">
        <v>6</v>
      </c>
      <c r="W50">
        <v>6</v>
      </c>
      <c r="X50" s="6">
        <v>0</v>
      </c>
      <c r="Y50" s="6">
        <v>0</v>
      </c>
      <c r="Z50" s="6">
        <v>0</v>
      </c>
      <c r="AA50" s="6">
        <v>0</v>
      </c>
      <c r="AB50" s="7">
        <v>0</v>
      </c>
    </row>
    <row r="51" spans="1:28" x14ac:dyDescent="0.3">
      <c r="A51" s="6">
        <v>5</v>
      </c>
      <c r="B51" s="6" t="s">
        <v>20</v>
      </c>
      <c r="C51" s="6" t="s">
        <v>28</v>
      </c>
      <c r="D51" s="6">
        <f>water!D29</f>
        <v>0</v>
      </c>
      <c r="E51" s="6">
        <f>glucose!D29</f>
        <v>0</v>
      </c>
      <c r="F51" s="6">
        <f>sucrose!D29</f>
        <v>0</v>
      </c>
      <c r="G51" s="6">
        <f>'milk choc'!D29</f>
        <v>0</v>
      </c>
      <c r="H51" s="12">
        <f>'milk chocolate arabinose'!D29</f>
        <v>0</v>
      </c>
      <c r="I51" s="6">
        <f>'gastic milk choc'!D29</f>
        <v>0</v>
      </c>
      <c r="J51" s="6">
        <f>'gastic milk choc arab'!D29</f>
        <v>0</v>
      </c>
      <c r="K51" s="6">
        <f>emulsie!D29</f>
        <v>0</v>
      </c>
      <c r="L51" s="6">
        <f>arabinose!D29</f>
        <v>0</v>
      </c>
      <c r="M51" s="6">
        <v>0</v>
      </c>
      <c r="N51" s="6">
        <v>0</v>
      </c>
      <c r="O51" s="6">
        <v>0</v>
      </c>
      <c r="P51">
        <v>0</v>
      </c>
      <c r="Q51">
        <v>0</v>
      </c>
      <c r="R51" s="6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6">
        <v>0</v>
      </c>
      <c r="Y51" s="6">
        <v>0</v>
      </c>
      <c r="Z51" s="6">
        <v>0</v>
      </c>
      <c r="AA51" s="6">
        <v>0</v>
      </c>
      <c r="AB51" s="7">
        <v>0</v>
      </c>
    </row>
    <row r="52" spans="1:28" x14ac:dyDescent="0.3">
      <c r="A52" s="6">
        <v>6</v>
      </c>
      <c r="B52" s="6" t="s">
        <v>66</v>
      </c>
      <c r="C52" s="6" t="s">
        <v>28</v>
      </c>
      <c r="D52" s="6">
        <f>water!D30</f>
        <v>0</v>
      </c>
      <c r="E52" s="6">
        <f>glucose!D30</f>
        <v>0</v>
      </c>
      <c r="F52" s="6">
        <f>sucrose!D30</f>
        <v>0</v>
      </c>
      <c r="G52" s="6">
        <f>'milk choc'!D30</f>
        <v>0</v>
      </c>
      <c r="H52" s="12">
        <f>'milk chocolate arabinose'!D30</f>
        <v>0</v>
      </c>
      <c r="I52" s="6">
        <f>'gastic milk choc'!D30</f>
        <v>0</v>
      </c>
      <c r="J52" s="6">
        <f>'gastic milk choc arab'!D30</f>
        <v>0</v>
      </c>
      <c r="K52" s="6">
        <f>emulsie!D30</f>
        <v>0</v>
      </c>
      <c r="L52" s="6">
        <f>arabinose!D30</f>
        <v>0</v>
      </c>
      <c r="M52" s="6">
        <v>0</v>
      </c>
      <c r="N52" s="6">
        <v>0</v>
      </c>
      <c r="O52" s="6">
        <v>0</v>
      </c>
      <c r="P52">
        <v>0</v>
      </c>
      <c r="Q52">
        <v>0</v>
      </c>
      <c r="R52" s="6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6">
        <v>0</v>
      </c>
      <c r="Y52" s="6">
        <v>0</v>
      </c>
      <c r="Z52" s="6">
        <v>0</v>
      </c>
      <c r="AA52" s="6">
        <v>0</v>
      </c>
      <c r="AB52" s="7">
        <v>0</v>
      </c>
    </row>
    <row r="53" spans="1:28" x14ac:dyDescent="0.3">
      <c r="A53" s="6">
        <v>10</v>
      </c>
      <c r="B53" s="6" t="s">
        <v>15</v>
      </c>
      <c r="C53" s="6" t="s">
        <v>28</v>
      </c>
      <c r="D53" s="6">
        <f>water!D31</f>
        <v>0</v>
      </c>
      <c r="E53" s="6">
        <f>glucose!D31</f>
        <v>0</v>
      </c>
      <c r="F53" s="6">
        <f>sucrose!D31</f>
        <v>0</v>
      </c>
      <c r="G53" s="6">
        <f>'milk choc'!D31</f>
        <v>0</v>
      </c>
      <c r="H53" s="12">
        <f>'milk chocolate arabinose'!D31</f>
        <v>0</v>
      </c>
      <c r="I53" s="6">
        <f>'gastic milk choc'!D31</f>
        <v>0</v>
      </c>
      <c r="J53" s="6">
        <f>'gastic milk choc arab'!D31</f>
        <v>0</v>
      </c>
      <c r="K53" s="6">
        <f>emulsie!D31</f>
        <v>0</v>
      </c>
      <c r="L53" s="6">
        <f>arabinose!D31</f>
        <v>0</v>
      </c>
      <c r="M53" s="6">
        <v>99</v>
      </c>
      <c r="N53" s="6">
        <v>0</v>
      </c>
      <c r="O53" s="6">
        <v>0</v>
      </c>
      <c r="P53">
        <v>75</v>
      </c>
      <c r="Q53">
        <v>0</v>
      </c>
      <c r="R53" s="6">
        <v>50</v>
      </c>
      <c r="S53">
        <v>50</v>
      </c>
      <c r="T53">
        <v>50</v>
      </c>
      <c r="U53">
        <v>50</v>
      </c>
      <c r="V53">
        <v>50</v>
      </c>
      <c r="W53">
        <v>50</v>
      </c>
      <c r="X53" s="6">
        <v>0</v>
      </c>
      <c r="Y53" s="6">
        <v>0</v>
      </c>
      <c r="Z53" s="6">
        <v>0</v>
      </c>
      <c r="AA53" s="6">
        <v>0</v>
      </c>
      <c r="AB53" s="7">
        <v>0</v>
      </c>
    </row>
    <row r="54" spans="1:28" x14ac:dyDescent="0.3">
      <c r="A54" s="6">
        <v>11</v>
      </c>
      <c r="B54" s="6" t="s">
        <v>16</v>
      </c>
      <c r="C54" s="6" t="s">
        <v>28</v>
      </c>
      <c r="D54" s="6">
        <f>water!D32</f>
        <v>0</v>
      </c>
      <c r="E54" s="6">
        <f>glucose!D32</f>
        <v>0</v>
      </c>
      <c r="F54" s="6">
        <f>sucrose!D32</f>
        <v>0</v>
      </c>
      <c r="G54" s="6">
        <f>'milk choc'!D32</f>
        <v>0</v>
      </c>
      <c r="H54" s="12">
        <f>'milk chocolate arabinose'!D32</f>
        <v>0</v>
      </c>
      <c r="I54" s="6">
        <f>'gastic milk choc'!D32</f>
        <v>0</v>
      </c>
      <c r="J54" s="6">
        <f>'gastic milk choc arab'!D32</f>
        <v>0</v>
      </c>
      <c r="K54" s="6">
        <f>emulsie!D32</f>
        <v>0</v>
      </c>
      <c r="L54" s="6">
        <f>arabinose!D32</f>
        <v>0</v>
      </c>
      <c r="M54" s="6">
        <v>0</v>
      </c>
      <c r="N54" s="6">
        <v>99</v>
      </c>
      <c r="O54" s="6">
        <v>0</v>
      </c>
      <c r="P54">
        <v>0</v>
      </c>
      <c r="Q54">
        <v>75</v>
      </c>
      <c r="R54" s="6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6">
        <v>0</v>
      </c>
      <c r="Y54" s="6">
        <v>0</v>
      </c>
      <c r="Z54" s="6">
        <v>0</v>
      </c>
      <c r="AA54" s="6">
        <v>0</v>
      </c>
      <c r="AB54" s="7">
        <v>0</v>
      </c>
    </row>
    <row r="55" spans="1:28" x14ac:dyDescent="0.3">
      <c r="A55" s="6">
        <v>12</v>
      </c>
      <c r="B55" s="6" t="s">
        <v>17</v>
      </c>
      <c r="C55" s="6" t="s">
        <v>28</v>
      </c>
      <c r="D55" s="6">
        <f>water!D33</f>
        <v>0</v>
      </c>
      <c r="E55" s="6">
        <f>glucose!D33</f>
        <v>0</v>
      </c>
      <c r="F55" s="6">
        <f>sucrose!D33</f>
        <v>0</v>
      </c>
      <c r="G55" s="6">
        <f>'milk choc'!D33</f>
        <v>6</v>
      </c>
      <c r="H55" s="12">
        <f>'milk chocolate arabinose'!D33</f>
        <v>6</v>
      </c>
      <c r="I55" s="6">
        <f>'gastic milk choc'!D33</f>
        <v>1.78</v>
      </c>
      <c r="J55" s="6">
        <f>'gastic milk choc arab'!D33</f>
        <v>1.78</v>
      </c>
      <c r="K55" s="6">
        <f>emulsie!D33</f>
        <v>0</v>
      </c>
      <c r="L55" s="6">
        <f>arabinose!D33</f>
        <v>0</v>
      </c>
      <c r="M55" s="6">
        <v>0</v>
      </c>
      <c r="N55" s="6">
        <v>0</v>
      </c>
      <c r="O55" s="6">
        <v>99</v>
      </c>
      <c r="P55">
        <v>0</v>
      </c>
      <c r="Q55">
        <v>0</v>
      </c>
      <c r="R55" s="6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6">
        <v>0</v>
      </c>
      <c r="Y55" s="6">
        <v>0</v>
      </c>
      <c r="Z55" s="6">
        <v>0</v>
      </c>
      <c r="AA55" s="6">
        <v>0</v>
      </c>
      <c r="AB55" s="7">
        <v>0</v>
      </c>
    </row>
    <row r="56" spans="1:28" x14ac:dyDescent="0.3">
      <c r="A56" s="6">
        <v>20</v>
      </c>
      <c r="B56" s="6" t="s">
        <v>3</v>
      </c>
      <c r="C56" s="6" t="s">
        <v>28</v>
      </c>
      <c r="D56" s="6">
        <f>water!D34</f>
        <v>0</v>
      </c>
      <c r="E56" s="6">
        <f>glucose!D34</f>
        <v>0</v>
      </c>
      <c r="F56" s="6">
        <f>sucrose!D34</f>
        <v>0</v>
      </c>
      <c r="G56" s="6">
        <f>'milk choc'!D34</f>
        <v>0</v>
      </c>
      <c r="H56" s="12">
        <f>'milk chocolate arabinose'!D34</f>
        <v>0</v>
      </c>
      <c r="I56" s="6">
        <f>'gastic milk choc'!D34</f>
        <v>0</v>
      </c>
      <c r="J56" s="6">
        <f>'gastic milk choc arab'!D34</f>
        <v>0</v>
      </c>
      <c r="K56" s="6">
        <f>emulsie!D34</f>
        <v>0</v>
      </c>
      <c r="L56" s="6">
        <f>arabinose!D34</f>
        <v>0</v>
      </c>
      <c r="M56" s="6">
        <v>0</v>
      </c>
      <c r="N56" s="6">
        <v>0</v>
      </c>
      <c r="O56" s="6">
        <v>0</v>
      </c>
      <c r="P56">
        <v>0</v>
      </c>
      <c r="Q56">
        <v>0</v>
      </c>
      <c r="R56" s="6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6">
        <v>0</v>
      </c>
      <c r="Y56" s="6">
        <v>0</v>
      </c>
      <c r="Z56" s="6">
        <v>0</v>
      </c>
      <c r="AA56" s="6">
        <v>0</v>
      </c>
      <c r="AB56" s="7">
        <v>0</v>
      </c>
    </row>
    <row r="57" spans="1:28" x14ac:dyDescent="0.3">
      <c r="A57" s="6">
        <v>21</v>
      </c>
      <c r="B57" s="6" t="s">
        <v>4</v>
      </c>
      <c r="C57" s="6" t="s">
        <v>28</v>
      </c>
      <c r="D57" s="6">
        <f>water!D35</f>
        <v>0</v>
      </c>
      <c r="E57" s="6">
        <f>glucose!D35</f>
        <v>0</v>
      </c>
      <c r="F57" s="6">
        <v>98</v>
      </c>
      <c r="G57" s="6">
        <v>40.5</v>
      </c>
      <c r="H57" s="12">
        <v>28.7</v>
      </c>
      <c r="I57" s="6">
        <v>19</v>
      </c>
      <c r="J57" s="6">
        <v>14</v>
      </c>
      <c r="K57" s="6">
        <f>emulsie!D35</f>
        <v>0</v>
      </c>
      <c r="L57" s="6">
        <f>arabinose!D35</f>
        <v>0</v>
      </c>
      <c r="M57" s="6">
        <v>0</v>
      </c>
      <c r="N57" s="6">
        <v>0</v>
      </c>
      <c r="O57" s="6">
        <v>0</v>
      </c>
      <c r="P57">
        <v>9</v>
      </c>
      <c r="Q57">
        <v>9</v>
      </c>
      <c r="R57" s="6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6">
        <v>0</v>
      </c>
      <c r="Y57" s="6">
        <v>0</v>
      </c>
      <c r="Z57" s="6">
        <v>0</v>
      </c>
      <c r="AA57" s="6">
        <v>0</v>
      </c>
      <c r="AB57" s="7">
        <v>0</v>
      </c>
    </row>
    <row r="58" spans="1:28" x14ac:dyDescent="0.3">
      <c r="A58" s="6">
        <v>22</v>
      </c>
      <c r="B58" s="6" t="s">
        <v>37</v>
      </c>
      <c r="C58" s="6" t="s">
        <v>28</v>
      </c>
      <c r="D58" s="6">
        <f>water!D36</f>
        <v>0</v>
      </c>
      <c r="E58" s="6">
        <f>glucose!D36</f>
        <v>0</v>
      </c>
      <c r="F58" s="6">
        <f>sucrose!D36</f>
        <v>0</v>
      </c>
      <c r="G58" s="6">
        <f>'milk choc'!D36</f>
        <v>0</v>
      </c>
      <c r="H58" s="12">
        <f>'milk chocolate arabinose'!D36</f>
        <v>0</v>
      </c>
      <c r="I58" s="6">
        <f>'gastic milk choc'!D36</f>
        <v>0</v>
      </c>
      <c r="J58" s="6">
        <f>'gastic milk choc arab'!D36</f>
        <v>0</v>
      </c>
      <c r="K58" s="6">
        <f>emulsie!D36</f>
        <v>0</v>
      </c>
      <c r="L58" s="6">
        <f>arabinose!D36</f>
        <v>0</v>
      </c>
      <c r="M58" s="6">
        <v>0</v>
      </c>
      <c r="N58" s="6">
        <v>0</v>
      </c>
      <c r="O58" s="6">
        <v>0</v>
      </c>
      <c r="P58">
        <v>0</v>
      </c>
      <c r="Q58">
        <v>0</v>
      </c>
      <c r="R58" s="6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6">
        <v>0</v>
      </c>
      <c r="Y58" s="6">
        <v>0</v>
      </c>
      <c r="Z58" s="6">
        <v>0</v>
      </c>
      <c r="AA58" s="6">
        <v>0</v>
      </c>
      <c r="AB58" s="7">
        <v>0</v>
      </c>
    </row>
    <row r="59" spans="1:28" x14ac:dyDescent="0.3">
      <c r="A59" s="6">
        <v>23</v>
      </c>
      <c r="B59" s="6" t="s">
        <v>18</v>
      </c>
      <c r="C59" s="6" t="s">
        <v>28</v>
      </c>
      <c r="D59" s="6">
        <f>water!D37</f>
        <v>0</v>
      </c>
      <c r="E59" s="6">
        <f>glucose!D37</f>
        <v>0</v>
      </c>
      <c r="F59" s="6">
        <f>sucrose!D37</f>
        <v>0</v>
      </c>
      <c r="G59" s="6">
        <f>'milk choc'!D37</f>
        <v>0</v>
      </c>
      <c r="H59" s="12">
        <f>'milk chocolate arabinose'!D37</f>
        <v>0</v>
      </c>
      <c r="I59" s="6">
        <f>'gastic milk choc'!D37</f>
        <v>0</v>
      </c>
      <c r="J59" s="6">
        <f>'gastic milk choc arab'!D37</f>
        <v>0</v>
      </c>
      <c r="K59" s="6">
        <f>emulsie!D37</f>
        <v>0</v>
      </c>
      <c r="L59" s="6">
        <f>arabinose!D37</f>
        <v>0</v>
      </c>
      <c r="M59" s="6">
        <v>0</v>
      </c>
      <c r="N59" s="6">
        <v>0</v>
      </c>
      <c r="O59" s="6">
        <v>0</v>
      </c>
      <c r="P59">
        <v>0</v>
      </c>
      <c r="Q59">
        <v>0</v>
      </c>
      <c r="R59" s="6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6">
        <v>0</v>
      </c>
      <c r="Y59" s="6">
        <v>0</v>
      </c>
      <c r="Z59" s="6">
        <v>0</v>
      </c>
      <c r="AA59" s="6">
        <v>0</v>
      </c>
      <c r="AB59" s="7">
        <v>0</v>
      </c>
    </row>
    <row r="60" spans="1:28" x14ac:dyDescent="0.3">
      <c r="A60" s="6">
        <v>24</v>
      </c>
      <c r="B60" s="6" t="s">
        <v>100</v>
      </c>
      <c r="C60" s="6" t="s">
        <v>28</v>
      </c>
      <c r="D60" s="6">
        <v>0</v>
      </c>
      <c r="E60" s="6">
        <v>0</v>
      </c>
      <c r="F60" s="6">
        <v>0</v>
      </c>
      <c r="G60" s="6">
        <v>0</v>
      </c>
      <c r="H60" s="12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>
        <v>0</v>
      </c>
      <c r="Q60">
        <v>0</v>
      </c>
      <c r="R60" s="6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6">
        <v>0</v>
      </c>
      <c r="Y60" s="6">
        <v>0</v>
      </c>
      <c r="Z60" s="6">
        <v>0</v>
      </c>
      <c r="AA60" s="6">
        <v>0</v>
      </c>
      <c r="AB60" s="7">
        <v>0</v>
      </c>
    </row>
    <row r="61" spans="1:28" x14ac:dyDescent="0.3">
      <c r="A61" s="6">
        <v>25</v>
      </c>
      <c r="B61" s="6" t="s">
        <v>38</v>
      </c>
      <c r="C61" s="6" t="s">
        <v>28</v>
      </c>
      <c r="D61" s="6">
        <f>water!D38</f>
        <v>0</v>
      </c>
      <c r="E61" s="6">
        <f>glucose!D38</f>
        <v>0</v>
      </c>
      <c r="F61" s="6">
        <f>sucrose!D38</f>
        <v>0</v>
      </c>
      <c r="G61" s="6">
        <f>'milk choc'!D38</f>
        <v>0</v>
      </c>
      <c r="H61" s="12">
        <f>'milk chocolate arabinose'!D38</f>
        <v>11.9</v>
      </c>
      <c r="I61" s="6">
        <f>'gastic milk choc'!D38</f>
        <v>0</v>
      </c>
      <c r="J61" s="6">
        <f>'gastic milk choc arab'!D38</f>
        <v>5</v>
      </c>
      <c r="K61" s="6">
        <f>emulsie!D38</f>
        <v>0</v>
      </c>
      <c r="L61" s="6">
        <f>arabinose!D38</f>
        <v>100</v>
      </c>
      <c r="M61" s="6">
        <v>0</v>
      </c>
      <c r="N61" s="6">
        <v>0</v>
      </c>
      <c r="O61" s="6">
        <v>0</v>
      </c>
      <c r="P61">
        <v>0</v>
      </c>
      <c r="Q61">
        <v>0</v>
      </c>
      <c r="R61" s="6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6">
        <v>0</v>
      </c>
      <c r="Y61" s="6">
        <v>0</v>
      </c>
      <c r="Z61" s="6">
        <v>0</v>
      </c>
      <c r="AA61" s="6">
        <v>0</v>
      </c>
      <c r="AB61" s="7">
        <v>0</v>
      </c>
    </row>
    <row r="62" spans="1:28" x14ac:dyDescent="0.3">
      <c r="A62" s="6">
        <v>26</v>
      </c>
      <c r="B62" s="6" t="s">
        <v>19</v>
      </c>
      <c r="C62" s="6" t="s">
        <v>28</v>
      </c>
      <c r="D62" s="6">
        <f>water!D39</f>
        <v>0</v>
      </c>
      <c r="E62" s="6">
        <f>glucose!D39</f>
        <v>0</v>
      </c>
      <c r="F62" s="6">
        <f>sucrose!D39</f>
        <v>0</v>
      </c>
      <c r="G62" s="6">
        <f>'milk choc'!D39</f>
        <v>0</v>
      </c>
      <c r="H62" s="12">
        <f>'milk chocolate arabinose'!D39</f>
        <v>0</v>
      </c>
      <c r="I62" s="6">
        <f>'gastic milk choc'!D39</f>
        <v>0</v>
      </c>
      <c r="J62" s="6">
        <f>'gastic milk choc arab'!D39</f>
        <v>0</v>
      </c>
      <c r="K62" s="6">
        <f>emulsie!D39</f>
        <v>0</v>
      </c>
      <c r="L62" s="6">
        <f>arabinose!D39</f>
        <v>0</v>
      </c>
      <c r="M62" s="6">
        <v>0</v>
      </c>
      <c r="N62" s="6">
        <v>0</v>
      </c>
      <c r="O62" s="6">
        <v>0</v>
      </c>
      <c r="P62">
        <v>0</v>
      </c>
      <c r="Q62">
        <v>0</v>
      </c>
      <c r="R62" s="6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6">
        <v>0</v>
      </c>
      <c r="Y62" s="6">
        <v>0</v>
      </c>
      <c r="Z62" s="6">
        <v>0</v>
      </c>
      <c r="AA62" s="6">
        <v>0</v>
      </c>
      <c r="AB62" s="7">
        <v>0</v>
      </c>
    </row>
    <row r="63" spans="1:28" x14ac:dyDescent="0.3">
      <c r="A63" s="6">
        <v>27</v>
      </c>
      <c r="B63" s="6" t="s">
        <v>39</v>
      </c>
      <c r="C63" s="6" t="s">
        <v>28</v>
      </c>
      <c r="D63" s="6">
        <f>water!D40</f>
        <v>0</v>
      </c>
      <c r="E63" s="6">
        <f>glucose!D40</f>
        <v>0</v>
      </c>
      <c r="F63" s="6">
        <f>sucrose!D40</f>
        <v>0</v>
      </c>
      <c r="G63" s="6">
        <f>'milk choc'!D40</f>
        <v>0</v>
      </c>
      <c r="H63" s="12">
        <f>'milk chocolate arabinose'!D40</f>
        <v>0</v>
      </c>
      <c r="I63" s="6">
        <f>'gastic milk choc'!D40</f>
        <v>0</v>
      </c>
      <c r="J63" s="6">
        <f>'gastic milk choc arab'!D40</f>
        <v>0</v>
      </c>
      <c r="K63" s="6">
        <f>emulsie!D40</f>
        <v>0</v>
      </c>
      <c r="L63" s="6">
        <f>arabinose!D40</f>
        <v>0</v>
      </c>
      <c r="M63" s="6">
        <v>0</v>
      </c>
      <c r="N63" s="6">
        <v>0</v>
      </c>
      <c r="O63" s="6">
        <v>0</v>
      </c>
      <c r="P63">
        <v>0</v>
      </c>
      <c r="Q63">
        <v>0</v>
      </c>
      <c r="R63" s="6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6">
        <v>0</v>
      </c>
      <c r="Y63" s="6">
        <v>0</v>
      </c>
      <c r="Z63" s="6">
        <v>0</v>
      </c>
      <c r="AA63" s="6">
        <v>0</v>
      </c>
      <c r="AB63" s="7">
        <v>0</v>
      </c>
    </row>
    <row r="64" spans="1:28" x14ac:dyDescent="0.3">
      <c r="A64" s="6">
        <v>34</v>
      </c>
      <c r="B64" s="6" t="s">
        <v>101</v>
      </c>
      <c r="C64" s="6" t="s">
        <v>28</v>
      </c>
      <c r="D64" s="6">
        <v>0</v>
      </c>
      <c r="E64" s="6">
        <v>1</v>
      </c>
      <c r="F64" s="6">
        <v>0</v>
      </c>
      <c r="G64" s="6">
        <v>0</v>
      </c>
      <c r="H64" s="12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>
        <v>0</v>
      </c>
      <c r="Q64">
        <v>0</v>
      </c>
      <c r="R64" s="6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6">
        <v>0</v>
      </c>
      <c r="Y64" s="6">
        <v>0</v>
      </c>
      <c r="Z64" s="6">
        <v>0</v>
      </c>
      <c r="AA64" s="6">
        <v>0</v>
      </c>
      <c r="AB64" s="7">
        <v>0</v>
      </c>
    </row>
    <row r="65" spans="1:28" x14ac:dyDescent="0.3">
      <c r="A65" s="6">
        <v>35</v>
      </c>
      <c r="B65" s="6" t="s">
        <v>102</v>
      </c>
      <c r="C65" s="6" t="s">
        <v>28</v>
      </c>
      <c r="D65" s="6">
        <v>0</v>
      </c>
      <c r="E65" s="6">
        <v>0</v>
      </c>
      <c r="F65" s="6">
        <v>0</v>
      </c>
      <c r="G65" s="6">
        <v>0</v>
      </c>
      <c r="H65" s="12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>
        <v>0</v>
      </c>
      <c r="Q65">
        <v>0</v>
      </c>
      <c r="R65" s="6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6">
        <v>0</v>
      </c>
      <c r="Y65" s="6">
        <v>0</v>
      </c>
      <c r="Z65" s="6">
        <v>0</v>
      </c>
      <c r="AA65" s="6">
        <v>0</v>
      </c>
      <c r="AB65" s="7">
        <v>0</v>
      </c>
    </row>
    <row r="66" spans="1:28" x14ac:dyDescent="0.3">
      <c r="A66" s="6">
        <v>36</v>
      </c>
      <c r="B66" s="6" t="s">
        <v>103</v>
      </c>
      <c r="C66" s="6" t="s">
        <v>28</v>
      </c>
      <c r="D66" s="6">
        <v>0</v>
      </c>
      <c r="E66" s="6">
        <v>0</v>
      </c>
      <c r="F66" s="6">
        <v>2</v>
      </c>
      <c r="G66" s="6">
        <v>1</v>
      </c>
      <c r="H66" s="12">
        <v>1</v>
      </c>
      <c r="I66" s="6">
        <v>1</v>
      </c>
      <c r="J66" s="6">
        <v>1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>
        <v>0</v>
      </c>
      <c r="Q66">
        <v>0</v>
      </c>
      <c r="R66" s="6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6">
        <v>0</v>
      </c>
      <c r="Y66" s="6">
        <v>0</v>
      </c>
      <c r="Z66" s="6">
        <v>0</v>
      </c>
      <c r="AA66" s="6">
        <v>0</v>
      </c>
      <c r="AB66" s="7">
        <v>0</v>
      </c>
    </row>
    <row r="67" spans="1:28" x14ac:dyDescent="0.3">
      <c r="A67" s="6">
        <v>40</v>
      </c>
      <c r="B67" s="6" t="s">
        <v>52</v>
      </c>
      <c r="C67" s="6" t="s">
        <v>28</v>
      </c>
      <c r="D67" s="6">
        <f>water!D41</f>
        <v>0</v>
      </c>
      <c r="E67" s="6">
        <f>glucose!D41</f>
        <v>0</v>
      </c>
      <c r="F67" s="6">
        <f>sucrose!D41</f>
        <v>0</v>
      </c>
      <c r="G67" s="6">
        <f>'milk choc'!D41</f>
        <v>0</v>
      </c>
      <c r="H67" s="12">
        <f>'milk chocolate arabinose'!D41</f>
        <v>0</v>
      </c>
      <c r="I67" s="6">
        <f>'gastic milk choc'!D41</f>
        <v>0</v>
      </c>
      <c r="J67" s="6">
        <f>'gastic milk choc arab'!D41</f>
        <v>0</v>
      </c>
      <c r="K67" s="6">
        <f>emulsie!D41</f>
        <v>0</v>
      </c>
      <c r="L67" s="6">
        <f>arabinose!D41</f>
        <v>0</v>
      </c>
      <c r="M67" s="6">
        <v>0</v>
      </c>
      <c r="N67" s="6">
        <v>0</v>
      </c>
      <c r="O67" s="6">
        <v>0</v>
      </c>
      <c r="P67">
        <v>0</v>
      </c>
      <c r="Q67">
        <v>0</v>
      </c>
      <c r="R67" s="6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6">
        <v>0</v>
      </c>
      <c r="Y67" s="6">
        <v>0</v>
      </c>
      <c r="Z67" s="6">
        <v>0</v>
      </c>
      <c r="AA67" s="6">
        <v>0</v>
      </c>
      <c r="AB67" s="7">
        <v>0</v>
      </c>
    </row>
    <row r="68" spans="1:28" x14ac:dyDescent="0.3">
      <c r="A68" s="6">
        <v>41</v>
      </c>
      <c r="B68" s="6" t="s">
        <v>53</v>
      </c>
      <c r="C68" s="6" t="s">
        <v>28</v>
      </c>
      <c r="D68" s="6">
        <f>water!D42</f>
        <v>0</v>
      </c>
      <c r="E68" s="6">
        <f>glucose!D42</f>
        <v>0</v>
      </c>
      <c r="F68" s="6">
        <f>sucrose!D42</f>
        <v>0</v>
      </c>
      <c r="G68" s="6">
        <f>'milk choc'!D42</f>
        <v>0</v>
      </c>
      <c r="H68" s="12">
        <f>'milk chocolate arabinose'!D42</f>
        <v>0</v>
      </c>
      <c r="I68" s="6">
        <f>'gastic milk choc'!D42</f>
        <v>0</v>
      </c>
      <c r="J68" s="6">
        <f>'gastic milk choc arab'!D42</f>
        <v>0</v>
      </c>
      <c r="K68" s="6">
        <f>emulsie!D42</f>
        <v>0</v>
      </c>
      <c r="L68" s="6">
        <f>arabinose!D42</f>
        <v>0</v>
      </c>
      <c r="M68" s="6">
        <v>0</v>
      </c>
      <c r="N68" s="6">
        <v>0</v>
      </c>
      <c r="O68" s="6">
        <v>0</v>
      </c>
      <c r="P68">
        <v>0</v>
      </c>
      <c r="Q68">
        <v>0</v>
      </c>
      <c r="R68" s="6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6">
        <v>0</v>
      </c>
      <c r="Y68" s="6">
        <v>0</v>
      </c>
      <c r="Z68" s="6">
        <v>0</v>
      </c>
      <c r="AA68" s="6">
        <v>0</v>
      </c>
      <c r="AB68" s="7">
        <v>0</v>
      </c>
    </row>
    <row r="69" spans="1:28" x14ac:dyDescent="0.3">
      <c r="A69" s="6">
        <v>50</v>
      </c>
      <c r="B69" s="6" t="s">
        <v>54</v>
      </c>
      <c r="C69" s="6" t="s">
        <v>28</v>
      </c>
      <c r="D69" s="6">
        <f>water!D43</f>
        <v>0</v>
      </c>
      <c r="E69" s="6">
        <f>glucose!D43</f>
        <v>0</v>
      </c>
      <c r="F69" s="6">
        <f>sucrose!D43</f>
        <v>0</v>
      </c>
      <c r="G69" s="6">
        <f>'milk choc'!D43</f>
        <v>0</v>
      </c>
      <c r="H69" s="12">
        <f>'milk chocolate arabinose'!D43</f>
        <v>0</v>
      </c>
      <c r="I69" s="6">
        <f>'gastic milk choc'!D43</f>
        <v>0</v>
      </c>
      <c r="J69" s="6">
        <f>'gastic milk choc arab'!D43</f>
        <v>0</v>
      </c>
      <c r="K69" s="6">
        <f>emulsie!D43</f>
        <v>0</v>
      </c>
      <c r="L69" s="6">
        <f>arabinose!D43</f>
        <v>0</v>
      </c>
      <c r="M69" s="6">
        <v>0</v>
      </c>
      <c r="N69" s="6">
        <v>0</v>
      </c>
      <c r="O69" s="6">
        <v>0</v>
      </c>
      <c r="P69">
        <v>0</v>
      </c>
      <c r="Q69">
        <v>0</v>
      </c>
      <c r="R69" s="6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6">
        <v>0</v>
      </c>
      <c r="Y69" s="6">
        <v>0</v>
      </c>
      <c r="Z69" s="6">
        <v>0</v>
      </c>
      <c r="AA69" s="6">
        <v>0</v>
      </c>
      <c r="AB69" s="7">
        <v>0</v>
      </c>
    </row>
    <row r="70" spans="1:28" x14ac:dyDescent="0.3">
      <c r="A70" s="6">
        <v>51</v>
      </c>
      <c r="B70" s="6" t="s">
        <v>55</v>
      </c>
      <c r="C70" s="6" t="s">
        <v>28</v>
      </c>
      <c r="D70" s="6">
        <f>water!D44</f>
        <v>0</v>
      </c>
      <c r="E70" s="6">
        <f>glucose!D44</f>
        <v>0</v>
      </c>
      <c r="F70" s="6">
        <f>sucrose!D44</f>
        <v>0</v>
      </c>
      <c r="G70" s="6">
        <f>'milk choc'!D44</f>
        <v>0</v>
      </c>
      <c r="H70" s="12">
        <f>'milk chocolate arabinose'!D44</f>
        <v>0</v>
      </c>
      <c r="I70" s="6">
        <f>'gastic milk choc'!D44</f>
        <v>0</v>
      </c>
      <c r="J70" s="6">
        <f>'gastic milk choc arab'!D44</f>
        <v>0</v>
      </c>
      <c r="K70" s="6">
        <f>emulsie!D44</f>
        <v>0</v>
      </c>
      <c r="L70" s="6">
        <f>arabinose!D44</f>
        <v>0</v>
      </c>
      <c r="M70" s="6">
        <v>0</v>
      </c>
      <c r="N70" s="6">
        <v>0</v>
      </c>
      <c r="O70" s="6">
        <v>0</v>
      </c>
      <c r="P70">
        <v>0</v>
      </c>
      <c r="Q70">
        <v>0</v>
      </c>
      <c r="R70" s="6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6">
        <v>0</v>
      </c>
      <c r="Y70" s="6">
        <v>0</v>
      </c>
      <c r="Z70" s="6">
        <v>0</v>
      </c>
      <c r="AA70" s="6">
        <v>0</v>
      </c>
      <c r="AB70" s="7">
        <v>0</v>
      </c>
    </row>
    <row r="71" spans="1:28" x14ac:dyDescent="0.3">
      <c r="A71" s="6">
        <v>52</v>
      </c>
      <c r="B71" s="6" t="s">
        <v>56</v>
      </c>
      <c r="C71" s="6" t="s">
        <v>28</v>
      </c>
      <c r="D71" s="6">
        <f>water!D45</f>
        <v>0</v>
      </c>
      <c r="E71" s="6">
        <f>glucose!D45</f>
        <v>0</v>
      </c>
      <c r="F71" s="6">
        <f>sucrose!D45</f>
        <v>0</v>
      </c>
      <c r="G71" s="6">
        <f>'milk choc'!D45</f>
        <v>0</v>
      </c>
      <c r="H71" s="12">
        <f>'milk chocolate arabinose'!D45</f>
        <v>0</v>
      </c>
      <c r="I71" s="6">
        <f>'gastic milk choc'!D45</f>
        <v>0</v>
      </c>
      <c r="J71" s="6">
        <f>'gastic milk choc arab'!D45</f>
        <v>0</v>
      </c>
      <c r="K71" s="6">
        <f>emulsie!D45</f>
        <v>0</v>
      </c>
      <c r="L71" s="6">
        <f>arabinose!D45</f>
        <v>0</v>
      </c>
      <c r="M71" s="6">
        <v>0</v>
      </c>
      <c r="N71" s="6">
        <v>0</v>
      </c>
      <c r="O71" s="6">
        <v>0</v>
      </c>
      <c r="P71">
        <v>0</v>
      </c>
      <c r="Q71">
        <v>0</v>
      </c>
      <c r="R71" s="6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6">
        <v>0</v>
      </c>
      <c r="Y71" s="6">
        <v>0</v>
      </c>
      <c r="Z71" s="6">
        <v>0</v>
      </c>
      <c r="AA71" s="6">
        <v>0</v>
      </c>
      <c r="AB71" s="7">
        <v>0</v>
      </c>
    </row>
    <row r="72" spans="1:28" x14ac:dyDescent="0.3">
      <c r="A72" s="6">
        <v>53</v>
      </c>
      <c r="B72" s="6" t="s">
        <v>57</v>
      </c>
      <c r="C72" s="6" t="s">
        <v>28</v>
      </c>
      <c r="D72" s="6">
        <f>water!D46</f>
        <v>0</v>
      </c>
      <c r="E72" s="6">
        <f>glucose!D46</f>
        <v>0</v>
      </c>
      <c r="F72" s="6">
        <f>sucrose!D46</f>
        <v>0</v>
      </c>
      <c r="G72" s="6">
        <f>'milk choc'!D46</f>
        <v>0</v>
      </c>
      <c r="H72" s="12">
        <f>'milk chocolate arabinose'!D46</f>
        <v>0</v>
      </c>
      <c r="I72" s="6">
        <f>'gastic milk choc'!D46</f>
        <v>0</v>
      </c>
      <c r="J72" s="6">
        <f>'gastic milk choc arab'!D46</f>
        <v>0</v>
      </c>
      <c r="K72" s="6">
        <f>emulsie!D46</f>
        <v>0</v>
      </c>
      <c r="L72" s="6">
        <f>arabinose!D46</f>
        <v>0</v>
      </c>
      <c r="M72" s="6">
        <v>0</v>
      </c>
      <c r="N72" s="6">
        <v>0</v>
      </c>
      <c r="O72" s="6">
        <v>0</v>
      </c>
      <c r="P72">
        <v>0</v>
      </c>
      <c r="Q72">
        <v>0</v>
      </c>
      <c r="R72" s="6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6">
        <v>0</v>
      </c>
      <c r="Y72" s="6">
        <v>0</v>
      </c>
      <c r="Z72" s="6">
        <v>0</v>
      </c>
      <c r="AA72" s="6">
        <v>0</v>
      </c>
      <c r="AB72" s="7">
        <v>0</v>
      </c>
    </row>
    <row r="73" spans="1:28" x14ac:dyDescent="0.3">
      <c r="A73" s="6">
        <v>54</v>
      </c>
      <c r="B73" s="6" t="s">
        <v>58</v>
      </c>
      <c r="C73" s="6" t="s">
        <v>28</v>
      </c>
      <c r="D73" s="6">
        <f>water!D47</f>
        <v>0</v>
      </c>
      <c r="E73" s="6">
        <f>glucose!D47</f>
        <v>0</v>
      </c>
      <c r="F73" s="6">
        <f>sucrose!D47</f>
        <v>0</v>
      </c>
      <c r="G73" s="6">
        <f>'milk choc'!D47</f>
        <v>0</v>
      </c>
      <c r="H73" s="12">
        <f>'milk chocolate arabinose'!D47</f>
        <v>0</v>
      </c>
      <c r="I73" s="6">
        <f>'gastic milk choc'!D47</f>
        <v>0</v>
      </c>
      <c r="J73" s="6">
        <f>'gastic milk choc arab'!D47</f>
        <v>0</v>
      </c>
      <c r="K73" s="6">
        <f>emulsie!D47</f>
        <v>0</v>
      </c>
      <c r="L73" s="6">
        <f>arabinose!D47</f>
        <v>0</v>
      </c>
      <c r="M73" s="6">
        <v>0</v>
      </c>
      <c r="N73" s="6">
        <v>0</v>
      </c>
      <c r="O73" s="6">
        <v>0</v>
      </c>
      <c r="P73">
        <v>0</v>
      </c>
      <c r="Q73">
        <v>0</v>
      </c>
      <c r="R73" s="6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6">
        <v>0</v>
      </c>
      <c r="Y73" s="6">
        <v>0</v>
      </c>
      <c r="Z73" s="6">
        <v>0</v>
      </c>
      <c r="AA73" s="6">
        <v>0</v>
      </c>
      <c r="AB73" s="7">
        <v>0</v>
      </c>
    </row>
    <row r="74" spans="1:28" x14ac:dyDescent="0.3">
      <c r="A74" s="6">
        <v>55</v>
      </c>
      <c r="B74" s="6" t="s">
        <v>62</v>
      </c>
      <c r="C74" s="6" t="s">
        <v>28</v>
      </c>
      <c r="D74" s="6">
        <f>water!D48</f>
        <v>0</v>
      </c>
      <c r="E74" s="6">
        <f>glucose!D48</f>
        <v>0</v>
      </c>
      <c r="F74" s="6">
        <f>sucrose!D48</f>
        <v>0</v>
      </c>
      <c r="G74" s="6">
        <f>'milk choc'!D48</f>
        <v>0</v>
      </c>
      <c r="H74" s="12">
        <f>'milk chocolate arabinose'!D48</f>
        <v>0</v>
      </c>
      <c r="I74" s="6">
        <f>'gastic milk choc'!D48</f>
        <v>0</v>
      </c>
      <c r="J74" s="6">
        <f>'gastic milk choc arab'!D48</f>
        <v>0</v>
      </c>
      <c r="K74" s="6">
        <f>emulsie!D48</f>
        <v>0</v>
      </c>
      <c r="L74" s="6">
        <f>arabinose!D48</f>
        <v>0</v>
      </c>
      <c r="M74" s="6">
        <v>0</v>
      </c>
      <c r="N74" s="6">
        <v>0</v>
      </c>
      <c r="O74" s="6">
        <v>0</v>
      </c>
      <c r="P74">
        <v>0</v>
      </c>
      <c r="Q74">
        <v>0</v>
      </c>
      <c r="R74" s="6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6">
        <v>0</v>
      </c>
      <c r="Y74" s="6">
        <v>0</v>
      </c>
      <c r="Z74" s="6">
        <v>0</v>
      </c>
      <c r="AA74" s="6">
        <v>0</v>
      </c>
      <c r="AB74" s="7">
        <v>0</v>
      </c>
    </row>
    <row r="75" spans="1:28" x14ac:dyDescent="0.3">
      <c r="A75" s="6">
        <v>56</v>
      </c>
      <c r="B75" s="6" t="s">
        <v>63</v>
      </c>
      <c r="C75" s="6" t="s">
        <v>28</v>
      </c>
      <c r="D75" s="6">
        <f>water!D49</f>
        <v>0</v>
      </c>
      <c r="E75" s="6">
        <f>glucose!D49</f>
        <v>0</v>
      </c>
      <c r="F75" s="6">
        <f>sucrose!D49</f>
        <v>0</v>
      </c>
      <c r="G75" s="6">
        <f>'milk choc'!D49</f>
        <v>0</v>
      </c>
      <c r="H75" s="12">
        <f>'milk chocolate arabinose'!D49</f>
        <v>0</v>
      </c>
      <c r="I75" s="6">
        <f>'gastic milk choc'!D49</f>
        <v>0</v>
      </c>
      <c r="J75" s="6">
        <f>'gastic milk choc arab'!D49</f>
        <v>0</v>
      </c>
      <c r="K75" s="6">
        <f>emulsie!D49</f>
        <v>0</v>
      </c>
      <c r="L75" s="6">
        <f>arabinose!D49</f>
        <v>0</v>
      </c>
      <c r="M75" s="6">
        <v>0</v>
      </c>
      <c r="N75" s="6">
        <v>0</v>
      </c>
      <c r="O75" s="6">
        <v>0</v>
      </c>
      <c r="P75">
        <v>0</v>
      </c>
      <c r="Q75">
        <v>0</v>
      </c>
      <c r="R75" s="6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6">
        <v>0</v>
      </c>
      <c r="Y75" s="6">
        <v>0</v>
      </c>
      <c r="Z75" s="6">
        <v>0</v>
      </c>
      <c r="AA75" s="6">
        <v>0</v>
      </c>
      <c r="AB75" s="7">
        <v>0</v>
      </c>
    </row>
    <row r="76" spans="1:28" x14ac:dyDescent="0.3">
      <c r="A76" s="6">
        <v>57</v>
      </c>
      <c r="B76" s="6" t="s">
        <v>59</v>
      </c>
      <c r="C76" s="6" t="s">
        <v>28</v>
      </c>
      <c r="D76" s="6">
        <f>water!D50</f>
        <v>0</v>
      </c>
      <c r="E76" s="6">
        <f>glucose!D50</f>
        <v>0</v>
      </c>
      <c r="F76" s="6">
        <f>sucrose!D50</f>
        <v>0</v>
      </c>
      <c r="G76" s="6">
        <f>'milk choc'!D50</f>
        <v>0</v>
      </c>
      <c r="H76" s="12">
        <f>'milk chocolate arabinose'!D50</f>
        <v>0</v>
      </c>
      <c r="I76" s="6">
        <f>'gastic milk choc'!D50</f>
        <v>0</v>
      </c>
      <c r="J76" s="6">
        <f>'gastic milk choc arab'!D50</f>
        <v>0</v>
      </c>
      <c r="K76" s="6">
        <f>emulsie!D50</f>
        <v>0</v>
      </c>
      <c r="L76" s="6">
        <f>arabinose!D50</f>
        <v>0</v>
      </c>
      <c r="M76" s="6">
        <v>0</v>
      </c>
      <c r="N76" s="6">
        <v>0</v>
      </c>
      <c r="O76" s="6">
        <v>0</v>
      </c>
      <c r="P76">
        <v>0</v>
      </c>
      <c r="Q76">
        <v>0</v>
      </c>
      <c r="R76" s="6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6">
        <v>0</v>
      </c>
      <c r="Y76" s="6">
        <v>0</v>
      </c>
      <c r="Z76" s="6">
        <v>0</v>
      </c>
      <c r="AA76" s="6">
        <v>0</v>
      </c>
      <c r="AB76" s="7">
        <v>0</v>
      </c>
    </row>
    <row r="77" spans="1:28" x14ac:dyDescent="0.3">
      <c r="A77" s="6">
        <v>58</v>
      </c>
      <c r="B77" s="6" t="s">
        <v>60</v>
      </c>
      <c r="C77" s="6" t="s">
        <v>28</v>
      </c>
      <c r="D77" s="6">
        <f>water!D51</f>
        <v>0</v>
      </c>
      <c r="E77" s="6">
        <f>glucose!D51</f>
        <v>0</v>
      </c>
      <c r="F77" s="6">
        <f>sucrose!D51</f>
        <v>0</v>
      </c>
      <c r="G77" s="6">
        <f>'milk choc'!D51</f>
        <v>0</v>
      </c>
      <c r="H77" s="12">
        <f>'milk chocolate arabinose'!D51</f>
        <v>0</v>
      </c>
      <c r="I77" s="6">
        <f>'gastic milk choc'!D51</f>
        <v>0</v>
      </c>
      <c r="J77" s="6">
        <f>'gastic milk choc arab'!D51</f>
        <v>0</v>
      </c>
      <c r="K77" s="6">
        <f>emulsie!D51</f>
        <v>0</v>
      </c>
      <c r="L77" s="6">
        <f>arabinose!D51</f>
        <v>0</v>
      </c>
      <c r="M77" s="6">
        <v>0</v>
      </c>
      <c r="N77" s="6">
        <v>0</v>
      </c>
      <c r="O77" s="6">
        <v>0</v>
      </c>
      <c r="P77">
        <v>0</v>
      </c>
      <c r="Q77">
        <v>0</v>
      </c>
      <c r="R77" s="6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6">
        <v>0</v>
      </c>
      <c r="Y77" s="6">
        <v>0</v>
      </c>
      <c r="Z77" s="6">
        <v>0</v>
      </c>
      <c r="AA77" s="6">
        <v>0</v>
      </c>
      <c r="AB77" s="7">
        <v>0</v>
      </c>
    </row>
    <row r="78" spans="1:28" x14ac:dyDescent="0.3">
      <c r="A78" s="6">
        <v>60</v>
      </c>
      <c r="B78" s="6" t="s">
        <v>61</v>
      </c>
      <c r="C78" s="6" t="s">
        <v>28</v>
      </c>
      <c r="D78" s="6">
        <f>water!D52</f>
        <v>0</v>
      </c>
      <c r="E78" s="6">
        <f>glucose!D52</f>
        <v>0</v>
      </c>
      <c r="F78" s="6">
        <f>sucrose!D52</f>
        <v>0</v>
      </c>
      <c r="G78" s="6">
        <f>'milk choc'!D52</f>
        <v>0</v>
      </c>
      <c r="H78" s="12">
        <f>'milk chocolate arabinose'!D52</f>
        <v>0</v>
      </c>
      <c r="I78" s="6">
        <f>'gastic milk choc'!D52</f>
        <v>0</v>
      </c>
      <c r="J78" s="6">
        <f>'gastic milk choc arab'!D52</f>
        <v>0</v>
      </c>
      <c r="K78" s="6">
        <f>emulsie!D52</f>
        <v>0</v>
      </c>
      <c r="L78" s="6">
        <f>arabinose!D52</f>
        <v>0</v>
      </c>
      <c r="M78" s="6">
        <v>0</v>
      </c>
      <c r="N78" s="6">
        <v>0</v>
      </c>
      <c r="O78" s="6">
        <v>0</v>
      </c>
      <c r="P78">
        <v>0</v>
      </c>
      <c r="Q78">
        <v>0</v>
      </c>
      <c r="R78" s="6">
        <v>0</v>
      </c>
      <c r="S78">
        <v>0</v>
      </c>
      <c r="T78">
        <v>0</v>
      </c>
      <c r="U78">
        <v>0</v>
      </c>
      <c r="V78">
        <v>0</v>
      </c>
      <c r="W78">
        <v>0</v>
      </c>
      <c r="X78" s="6">
        <v>0</v>
      </c>
      <c r="Y78" s="6">
        <v>0</v>
      </c>
      <c r="Z78" s="6">
        <v>0</v>
      </c>
      <c r="AA78" s="6">
        <v>0</v>
      </c>
      <c r="AB78" s="7">
        <v>0</v>
      </c>
    </row>
    <row r="79" spans="1:28" x14ac:dyDescent="0.3">
      <c r="A79" s="6">
        <v>61</v>
      </c>
      <c r="B79" s="6" t="s">
        <v>40</v>
      </c>
      <c r="C79" s="6" t="s">
        <v>28</v>
      </c>
      <c r="D79" s="6">
        <f>water!D53</f>
        <v>0</v>
      </c>
      <c r="E79" s="6">
        <f>glucose!D53</f>
        <v>0</v>
      </c>
      <c r="F79" s="6">
        <f>sucrose!D53</f>
        <v>0</v>
      </c>
      <c r="G79" s="6">
        <f>'milk choc'!D53</f>
        <v>9</v>
      </c>
      <c r="H79" s="12">
        <f>'milk chocolate arabinose'!D53</f>
        <v>9</v>
      </c>
      <c r="I79" s="6">
        <f>'gastic milk choc'!D53</f>
        <v>2.31</v>
      </c>
      <c r="J79" s="6">
        <f>'gastic milk choc arab'!D53</f>
        <v>2.31</v>
      </c>
      <c r="K79" s="6">
        <f>emulsie!D53</f>
        <v>0</v>
      </c>
      <c r="L79" s="6">
        <f>arabinose!D53</f>
        <v>0</v>
      </c>
      <c r="M79" s="6">
        <v>0</v>
      </c>
      <c r="N79" s="6">
        <v>0</v>
      </c>
      <c r="O79" s="6">
        <v>0</v>
      </c>
      <c r="P79">
        <v>0</v>
      </c>
      <c r="Q79">
        <v>0</v>
      </c>
      <c r="R79" s="6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6">
        <v>0</v>
      </c>
      <c r="Y79" s="6">
        <v>0</v>
      </c>
      <c r="Z79" s="6">
        <v>0</v>
      </c>
      <c r="AA79" s="6">
        <v>0</v>
      </c>
      <c r="AB79" s="7">
        <v>0</v>
      </c>
    </row>
    <row r="80" spans="1:28" x14ac:dyDescent="0.3">
      <c r="A80" s="6">
        <v>62</v>
      </c>
      <c r="B80" s="6" t="s">
        <v>46</v>
      </c>
      <c r="C80" s="6" t="s">
        <v>28</v>
      </c>
      <c r="D80" s="6">
        <f>water!D54</f>
        <v>0</v>
      </c>
      <c r="E80" s="6">
        <f>glucose!D54</f>
        <v>0</v>
      </c>
      <c r="F80" s="6">
        <f>sucrose!D54</f>
        <v>0</v>
      </c>
      <c r="G80" s="6">
        <f>'milk choc'!D54</f>
        <v>0</v>
      </c>
      <c r="H80" s="12">
        <f>'milk chocolate arabinose'!D54</f>
        <v>0</v>
      </c>
      <c r="I80" s="6">
        <f>'gastic milk choc'!D54</f>
        <v>0</v>
      </c>
      <c r="J80" s="6">
        <f>'gastic milk choc arab'!D54</f>
        <v>0</v>
      </c>
      <c r="K80" s="6">
        <f>emulsie!D54</f>
        <v>0</v>
      </c>
      <c r="L80" s="6">
        <f>arabinose!D54</f>
        <v>0</v>
      </c>
      <c r="M80" s="6">
        <v>0</v>
      </c>
      <c r="N80" s="6">
        <v>0</v>
      </c>
      <c r="O80" s="6">
        <v>0</v>
      </c>
      <c r="P80">
        <v>0</v>
      </c>
      <c r="Q80">
        <v>0</v>
      </c>
      <c r="R80" s="6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6">
        <v>0</v>
      </c>
      <c r="Y80" s="6">
        <v>0</v>
      </c>
      <c r="Z80" s="6">
        <v>0</v>
      </c>
      <c r="AA80" s="6">
        <v>0</v>
      </c>
      <c r="AB80" s="7">
        <v>0</v>
      </c>
    </row>
    <row r="81" spans="1:28" x14ac:dyDescent="0.3">
      <c r="A81" s="6">
        <v>63</v>
      </c>
      <c r="B81" s="6" t="s">
        <v>47</v>
      </c>
      <c r="C81" s="6" t="s">
        <v>28</v>
      </c>
      <c r="D81" s="6">
        <f>water!D55</f>
        <v>0</v>
      </c>
      <c r="E81" s="6">
        <f>glucose!D55</f>
        <v>0</v>
      </c>
      <c r="F81" s="6">
        <f>sucrose!D55</f>
        <v>0</v>
      </c>
      <c r="G81" s="6">
        <f>'milk choc'!D55</f>
        <v>0</v>
      </c>
      <c r="H81" s="12">
        <f>'milk chocolate arabinose'!D55</f>
        <v>0</v>
      </c>
      <c r="I81" s="6">
        <f>'gastic milk choc'!D55</f>
        <v>0</v>
      </c>
      <c r="J81" s="6">
        <f>'gastic milk choc arab'!D55</f>
        <v>0</v>
      </c>
      <c r="K81" s="6">
        <f>emulsie!D55</f>
        <v>0</v>
      </c>
      <c r="L81" s="6">
        <f>arabinose!D55</f>
        <v>0</v>
      </c>
      <c r="M81" s="6">
        <v>0</v>
      </c>
      <c r="N81" s="6">
        <v>0</v>
      </c>
      <c r="O81" s="6">
        <v>0</v>
      </c>
      <c r="P81">
        <v>0</v>
      </c>
      <c r="Q81">
        <v>0</v>
      </c>
      <c r="R81" s="6">
        <v>0</v>
      </c>
      <c r="S81">
        <v>0</v>
      </c>
      <c r="T81">
        <v>0</v>
      </c>
      <c r="U81">
        <v>0</v>
      </c>
      <c r="V81">
        <v>0</v>
      </c>
      <c r="W81">
        <v>0</v>
      </c>
      <c r="X81" s="6">
        <v>0</v>
      </c>
      <c r="Y81" s="6">
        <v>0</v>
      </c>
      <c r="Z81" s="6">
        <v>0</v>
      </c>
      <c r="AA81" s="6">
        <v>0</v>
      </c>
      <c r="AB81" s="7">
        <v>0</v>
      </c>
    </row>
    <row r="82" spans="1:28" x14ac:dyDescent="0.3">
      <c r="A82" s="6">
        <v>64</v>
      </c>
      <c r="B82" s="6" t="s">
        <v>41</v>
      </c>
      <c r="C82" s="6" t="s">
        <v>28</v>
      </c>
      <c r="D82" s="6">
        <f>water!D56</f>
        <v>0</v>
      </c>
      <c r="E82" s="6">
        <f>glucose!D56</f>
        <v>0</v>
      </c>
      <c r="F82" s="6">
        <f>sucrose!D56</f>
        <v>0</v>
      </c>
      <c r="G82" s="6">
        <f>'milk choc'!D56</f>
        <v>0</v>
      </c>
      <c r="H82" s="12">
        <f>'milk chocolate arabinose'!D56</f>
        <v>0</v>
      </c>
      <c r="I82" s="6">
        <f>'gastic milk choc'!D56</f>
        <v>0</v>
      </c>
      <c r="J82" s="6">
        <f>'gastic milk choc arab'!D56</f>
        <v>0</v>
      </c>
      <c r="K82" s="6">
        <f>emulsie!D56</f>
        <v>0</v>
      </c>
      <c r="L82" s="6">
        <f>arabinose!D56</f>
        <v>0</v>
      </c>
      <c r="M82" s="6">
        <v>0</v>
      </c>
      <c r="N82" s="6">
        <v>0</v>
      </c>
      <c r="O82" s="6">
        <v>0</v>
      </c>
      <c r="P82">
        <v>0</v>
      </c>
      <c r="Q82">
        <v>0</v>
      </c>
      <c r="R82" s="6">
        <v>0</v>
      </c>
      <c r="S82">
        <v>0</v>
      </c>
      <c r="T82">
        <v>0</v>
      </c>
      <c r="U82">
        <v>0</v>
      </c>
      <c r="V82">
        <v>0</v>
      </c>
      <c r="W82">
        <v>0</v>
      </c>
      <c r="X82" s="6">
        <v>0</v>
      </c>
      <c r="Y82" s="6">
        <v>0</v>
      </c>
      <c r="Z82" s="6">
        <v>0</v>
      </c>
      <c r="AA82" s="6">
        <v>0</v>
      </c>
      <c r="AB82" s="7">
        <v>0</v>
      </c>
    </row>
    <row r="83" spans="1:28" x14ac:dyDescent="0.3">
      <c r="A83" s="6">
        <v>65</v>
      </c>
      <c r="B83" s="6" t="s">
        <v>48</v>
      </c>
      <c r="C83" s="6" t="s">
        <v>28</v>
      </c>
      <c r="D83" s="6">
        <f>water!D57</f>
        <v>0</v>
      </c>
      <c r="E83" s="6">
        <f>glucose!D57</f>
        <v>0</v>
      </c>
      <c r="F83" s="6">
        <f>sucrose!D57</f>
        <v>0</v>
      </c>
      <c r="G83" s="6">
        <f>'milk choc'!D57</f>
        <v>0</v>
      </c>
      <c r="H83" s="12">
        <f>'milk chocolate arabinose'!D57</f>
        <v>0</v>
      </c>
      <c r="I83" s="6">
        <f>'gastic milk choc'!D57</f>
        <v>0</v>
      </c>
      <c r="J83" s="6">
        <f>'gastic milk choc arab'!D57</f>
        <v>0</v>
      </c>
      <c r="K83" s="6">
        <f>emulsie!D57</f>
        <v>0</v>
      </c>
      <c r="L83" s="6">
        <f>arabinose!D57</f>
        <v>0</v>
      </c>
      <c r="M83" s="6">
        <v>0</v>
      </c>
      <c r="N83" s="6">
        <v>0</v>
      </c>
      <c r="O83" s="6">
        <v>0</v>
      </c>
      <c r="P83">
        <v>0</v>
      </c>
      <c r="Q83">
        <v>0</v>
      </c>
      <c r="R83" s="6">
        <v>0</v>
      </c>
      <c r="S83">
        <v>0</v>
      </c>
      <c r="T83">
        <v>0</v>
      </c>
      <c r="U83">
        <v>0</v>
      </c>
      <c r="V83">
        <v>0</v>
      </c>
      <c r="W83">
        <v>0</v>
      </c>
      <c r="X83" s="6">
        <v>0</v>
      </c>
      <c r="Y83" s="6">
        <v>0</v>
      </c>
      <c r="Z83" s="6">
        <v>0</v>
      </c>
      <c r="AA83" s="6">
        <v>0</v>
      </c>
      <c r="AB83" s="7">
        <v>0</v>
      </c>
    </row>
    <row r="84" spans="1:28" x14ac:dyDescent="0.3">
      <c r="A84" s="6">
        <v>66</v>
      </c>
      <c r="B84" s="6" t="s">
        <v>5</v>
      </c>
      <c r="C84" s="6" t="s">
        <v>28</v>
      </c>
      <c r="D84" s="6">
        <f>water!D58</f>
        <v>0</v>
      </c>
      <c r="E84" s="6">
        <f>glucose!D58</f>
        <v>0</v>
      </c>
      <c r="F84" s="6">
        <f>sucrose!D58</f>
        <v>0</v>
      </c>
      <c r="G84" s="6">
        <f>'milk choc'!D58</f>
        <v>0</v>
      </c>
      <c r="H84" s="12">
        <f>'milk chocolate arabinose'!D58</f>
        <v>0</v>
      </c>
      <c r="I84" s="6">
        <f>'gastic milk choc'!D58</f>
        <v>0</v>
      </c>
      <c r="J84" s="6">
        <f>'gastic milk choc arab'!D58</f>
        <v>0</v>
      </c>
      <c r="K84" s="6">
        <f>emulsie!D58</f>
        <v>0</v>
      </c>
      <c r="L84" s="6">
        <f>arabinose!D58</f>
        <v>0</v>
      </c>
      <c r="M84" s="6">
        <v>0</v>
      </c>
      <c r="N84" s="6">
        <v>0</v>
      </c>
      <c r="O84" s="6">
        <v>0</v>
      </c>
      <c r="P84">
        <v>0</v>
      </c>
      <c r="Q84">
        <v>0</v>
      </c>
      <c r="R84" s="6">
        <v>0</v>
      </c>
      <c r="S84">
        <v>0</v>
      </c>
      <c r="T84">
        <v>0</v>
      </c>
      <c r="U84">
        <v>0</v>
      </c>
      <c r="V84">
        <v>0</v>
      </c>
      <c r="W84">
        <v>0</v>
      </c>
      <c r="X84" s="6">
        <v>0</v>
      </c>
      <c r="Y84" s="6">
        <v>0</v>
      </c>
      <c r="Z84" s="6">
        <v>0</v>
      </c>
      <c r="AA84" s="6">
        <v>0</v>
      </c>
      <c r="AB84" s="7">
        <v>0</v>
      </c>
    </row>
    <row r="85" spans="1:28" x14ac:dyDescent="0.3">
      <c r="A85" s="6">
        <v>67</v>
      </c>
      <c r="B85" s="6" t="s">
        <v>6</v>
      </c>
      <c r="C85" s="6" t="s">
        <v>28</v>
      </c>
      <c r="D85" s="6">
        <f>water!D59</f>
        <v>0</v>
      </c>
      <c r="E85" s="6">
        <f>glucose!D59</f>
        <v>0</v>
      </c>
      <c r="F85" s="6">
        <f>sucrose!D59</f>
        <v>0</v>
      </c>
      <c r="G85" s="6">
        <f>'milk choc'!D59</f>
        <v>10</v>
      </c>
      <c r="H85" s="12">
        <f>'milk chocolate arabinose'!D59</f>
        <v>10</v>
      </c>
      <c r="I85" s="6">
        <f>'gastic milk choc'!D59</f>
        <v>8.59</v>
      </c>
      <c r="J85" s="6">
        <f>'gastic milk choc arab'!D59</f>
        <v>8.59</v>
      </c>
      <c r="K85" s="6">
        <f>emulsie!D59</f>
        <v>0</v>
      </c>
      <c r="L85" s="6">
        <f>arabinose!D59</f>
        <v>0</v>
      </c>
      <c r="M85" s="6">
        <v>0</v>
      </c>
      <c r="N85" s="6">
        <v>0</v>
      </c>
      <c r="O85" s="6">
        <v>0</v>
      </c>
      <c r="P85">
        <v>0</v>
      </c>
      <c r="Q85">
        <v>0</v>
      </c>
      <c r="R85" s="6">
        <v>0</v>
      </c>
      <c r="S85">
        <v>0</v>
      </c>
      <c r="T85">
        <v>0</v>
      </c>
      <c r="U85">
        <v>0</v>
      </c>
      <c r="V85">
        <v>0</v>
      </c>
      <c r="W85">
        <v>0</v>
      </c>
      <c r="X85" s="6">
        <v>0</v>
      </c>
      <c r="Y85" s="6">
        <v>0</v>
      </c>
      <c r="Z85" s="6">
        <v>0</v>
      </c>
      <c r="AA85" s="6">
        <v>0</v>
      </c>
      <c r="AB85" s="7">
        <v>100</v>
      </c>
    </row>
    <row r="86" spans="1:28" x14ac:dyDescent="0.3">
      <c r="A86" s="6">
        <v>70</v>
      </c>
      <c r="B86" s="6" t="s">
        <v>7</v>
      </c>
      <c r="C86" s="6" t="s">
        <v>28</v>
      </c>
      <c r="D86" s="6">
        <f>water!D60</f>
        <v>0</v>
      </c>
      <c r="E86" s="6">
        <f>glucose!D60</f>
        <v>0</v>
      </c>
      <c r="F86" s="6">
        <f>sucrose!D60</f>
        <v>0</v>
      </c>
      <c r="G86" s="6">
        <f>'milk choc'!D60</f>
        <v>0</v>
      </c>
      <c r="H86" s="12">
        <f>'milk chocolate arabinose'!D60</f>
        <v>0</v>
      </c>
      <c r="I86" s="6">
        <f>'gastic milk choc'!D60</f>
        <v>0</v>
      </c>
      <c r="J86" s="6">
        <f>'gastic milk choc arab'!D60</f>
        <v>0</v>
      </c>
      <c r="K86" s="6">
        <f>emulsie!D60</f>
        <v>0</v>
      </c>
      <c r="L86" s="6">
        <f>arabinose!D60</f>
        <v>0</v>
      </c>
      <c r="M86" s="6">
        <v>0</v>
      </c>
      <c r="N86" s="6">
        <v>0</v>
      </c>
      <c r="O86" s="6">
        <v>0</v>
      </c>
      <c r="P86">
        <v>0</v>
      </c>
      <c r="Q86">
        <v>0</v>
      </c>
      <c r="R86" s="6">
        <v>0</v>
      </c>
      <c r="S86">
        <v>0</v>
      </c>
      <c r="T86">
        <v>0</v>
      </c>
      <c r="U86">
        <v>0</v>
      </c>
      <c r="V86">
        <v>0</v>
      </c>
      <c r="W86">
        <v>0</v>
      </c>
      <c r="X86" s="6">
        <v>0</v>
      </c>
      <c r="Y86" s="6">
        <v>0</v>
      </c>
      <c r="Z86" s="6">
        <v>0</v>
      </c>
      <c r="AA86" s="6">
        <v>0</v>
      </c>
      <c r="AB86" s="7">
        <v>0</v>
      </c>
    </row>
    <row r="87" spans="1:28" x14ac:dyDescent="0.3">
      <c r="A87" s="6">
        <v>71</v>
      </c>
      <c r="B87" s="6" t="s">
        <v>25</v>
      </c>
      <c r="C87" s="6" t="s">
        <v>28</v>
      </c>
      <c r="D87" s="6">
        <f>water!D61</f>
        <v>0</v>
      </c>
      <c r="E87" s="6">
        <f>glucose!D61</f>
        <v>0</v>
      </c>
      <c r="F87" s="6">
        <f>sucrose!D61</f>
        <v>0</v>
      </c>
      <c r="G87" s="6">
        <f>'milk choc'!D61</f>
        <v>0</v>
      </c>
      <c r="H87" s="12">
        <f>'milk chocolate arabinose'!D61</f>
        <v>0</v>
      </c>
      <c r="I87" s="6">
        <f>'gastic milk choc'!D61</f>
        <v>0</v>
      </c>
      <c r="J87" s="6">
        <f>'gastic milk choc arab'!D61</f>
        <v>0</v>
      </c>
      <c r="K87" s="6">
        <f>emulsie!D61</f>
        <v>0</v>
      </c>
      <c r="L87" s="6">
        <f>arabinose!D61</f>
        <v>0</v>
      </c>
      <c r="M87" s="6">
        <v>0</v>
      </c>
      <c r="N87" s="6">
        <v>0</v>
      </c>
      <c r="O87" s="6">
        <v>0</v>
      </c>
      <c r="P87">
        <v>0</v>
      </c>
      <c r="Q87">
        <v>0</v>
      </c>
      <c r="R87" s="6">
        <v>0</v>
      </c>
      <c r="S87">
        <v>0</v>
      </c>
      <c r="T87">
        <v>0</v>
      </c>
      <c r="U87">
        <v>0</v>
      </c>
      <c r="V87">
        <v>0</v>
      </c>
      <c r="W87">
        <v>0</v>
      </c>
      <c r="X87" s="6">
        <v>0</v>
      </c>
      <c r="Y87" s="6">
        <v>0</v>
      </c>
      <c r="Z87" s="6">
        <v>0</v>
      </c>
      <c r="AA87" s="6">
        <v>0</v>
      </c>
      <c r="AB87" s="7">
        <v>0</v>
      </c>
    </row>
    <row r="88" spans="1:28" x14ac:dyDescent="0.3">
      <c r="A88" s="6">
        <v>78</v>
      </c>
      <c r="B88" s="6" t="s">
        <v>49</v>
      </c>
      <c r="C88" s="6" t="s">
        <v>28</v>
      </c>
      <c r="D88" s="6">
        <f>water!D62</f>
        <v>0</v>
      </c>
      <c r="E88" s="6">
        <f>glucose!D62</f>
        <v>0</v>
      </c>
      <c r="F88" s="6">
        <f>sucrose!D62</f>
        <v>0</v>
      </c>
      <c r="G88" s="6">
        <f>'milk choc'!D62</f>
        <v>0</v>
      </c>
      <c r="H88" s="12">
        <f>'milk chocolate arabinose'!D62</f>
        <v>0</v>
      </c>
      <c r="I88" s="6">
        <f>'gastic milk choc'!D62</f>
        <v>0</v>
      </c>
      <c r="J88" s="6">
        <f>'gastic milk choc arab'!D62</f>
        <v>0</v>
      </c>
      <c r="K88" s="6">
        <f>emulsie!D62</f>
        <v>0</v>
      </c>
      <c r="L88" s="6">
        <f>arabinose!D62</f>
        <v>0</v>
      </c>
      <c r="M88" s="6">
        <v>0</v>
      </c>
      <c r="N88" s="6">
        <v>0</v>
      </c>
      <c r="O88" s="6">
        <v>0</v>
      </c>
      <c r="P88">
        <v>0</v>
      </c>
      <c r="Q88">
        <v>0</v>
      </c>
      <c r="R88" s="6">
        <v>0</v>
      </c>
      <c r="S88">
        <v>0</v>
      </c>
      <c r="T88">
        <v>0</v>
      </c>
      <c r="U88">
        <v>0</v>
      </c>
      <c r="V88">
        <v>0</v>
      </c>
      <c r="W88">
        <v>0</v>
      </c>
      <c r="X88" s="6">
        <v>0</v>
      </c>
      <c r="Y88" s="6">
        <v>0</v>
      </c>
      <c r="Z88" s="6">
        <v>0</v>
      </c>
      <c r="AA88" s="6">
        <v>0</v>
      </c>
      <c r="AB88" s="7">
        <v>0</v>
      </c>
    </row>
    <row r="89" spans="1:28" x14ac:dyDescent="0.3">
      <c r="A89" s="6">
        <v>79</v>
      </c>
      <c r="B89" s="6" t="s">
        <v>50</v>
      </c>
      <c r="C89" s="6" t="s">
        <v>28</v>
      </c>
      <c r="D89" s="6">
        <f>water!D63</f>
        <v>0</v>
      </c>
      <c r="E89" s="6">
        <f>glucose!D63</f>
        <v>0</v>
      </c>
      <c r="F89" s="6">
        <f>sucrose!D63</f>
        <v>0</v>
      </c>
      <c r="G89" s="6">
        <f>'milk choc'!D63</f>
        <v>0</v>
      </c>
      <c r="H89" s="12">
        <f>'milk chocolate arabinose'!D63</f>
        <v>0</v>
      </c>
      <c r="I89" s="6">
        <f>'gastic milk choc'!D63</f>
        <v>0</v>
      </c>
      <c r="J89" s="6">
        <f>'gastic milk choc arab'!D63</f>
        <v>0</v>
      </c>
      <c r="K89" s="6">
        <f>emulsie!D63</f>
        <v>0</v>
      </c>
      <c r="L89" s="6">
        <f>arabinose!D63</f>
        <v>0</v>
      </c>
      <c r="M89" s="6">
        <v>0</v>
      </c>
      <c r="N89" s="6">
        <v>0</v>
      </c>
      <c r="O89" s="6">
        <v>0</v>
      </c>
      <c r="P89">
        <v>0</v>
      </c>
      <c r="Q89">
        <v>0</v>
      </c>
      <c r="R89" s="6">
        <v>0</v>
      </c>
      <c r="S89">
        <v>0</v>
      </c>
      <c r="T89">
        <v>0</v>
      </c>
      <c r="U89">
        <v>0</v>
      </c>
      <c r="V89">
        <v>0</v>
      </c>
      <c r="W89">
        <v>0</v>
      </c>
      <c r="X89" s="6">
        <v>0</v>
      </c>
      <c r="Y89" s="6">
        <v>0</v>
      </c>
      <c r="Z89" s="6">
        <v>0</v>
      </c>
      <c r="AA89" s="6">
        <v>0</v>
      </c>
      <c r="AB89" s="7">
        <v>0</v>
      </c>
    </row>
    <row r="90" spans="1:28" x14ac:dyDescent="0.3">
      <c r="A90" s="6">
        <v>80</v>
      </c>
      <c r="B90" s="6" t="s">
        <v>64</v>
      </c>
      <c r="C90" s="6" t="s">
        <v>51</v>
      </c>
      <c r="D90" s="6">
        <f>water!D64</f>
        <v>0</v>
      </c>
      <c r="E90" s="6">
        <f>glucose!D64</f>
        <v>0</v>
      </c>
      <c r="F90" s="6">
        <f>sucrose!D64</f>
        <v>0</v>
      </c>
      <c r="G90" s="6">
        <f>'milk choc'!D64</f>
        <v>0</v>
      </c>
      <c r="H90" s="12">
        <f>'milk chocolate arabinose'!D64</f>
        <v>0</v>
      </c>
      <c r="I90" s="6">
        <f>'gastic milk choc'!D64</f>
        <v>0</v>
      </c>
      <c r="J90" s="6">
        <f>'gastic milk choc arab'!D64</f>
        <v>0</v>
      </c>
      <c r="K90" s="6">
        <f>emulsie!D64</f>
        <v>0</v>
      </c>
      <c r="L90" s="6">
        <f>arabinose!D64</f>
        <v>0</v>
      </c>
      <c r="M90" s="6">
        <v>0</v>
      </c>
      <c r="N90" s="6">
        <v>0</v>
      </c>
      <c r="O90" s="6">
        <v>0</v>
      </c>
      <c r="P90">
        <v>0</v>
      </c>
      <c r="Q90">
        <v>0</v>
      </c>
      <c r="R90" s="6">
        <v>0</v>
      </c>
      <c r="S90">
        <v>0</v>
      </c>
      <c r="T90">
        <v>0</v>
      </c>
      <c r="U90">
        <v>0</v>
      </c>
      <c r="V90">
        <v>0</v>
      </c>
      <c r="W90">
        <v>0</v>
      </c>
      <c r="X90" s="6">
        <v>0</v>
      </c>
      <c r="Y90" s="6">
        <v>0</v>
      </c>
      <c r="Z90" s="6">
        <v>0</v>
      </c>
      <c r="AA90" s="6">
        <v>0</v>
      </c>
      <c r="AB90" s="7">
        <v>0</v>
      </c>
    </row>
    <row r="91" spans="1:28" x14ac:dyDescent="0.3">
      <c r="A91" s="6">
        <v>0</v>
      </c>
      <c r="D91" s="6">
        <f t="shared" ref="D91:L91" si="0">SUM(D47:D90)</f>
        <v>100</v>
      </c>
      <c r="E91" s="6">
        <f t="shared" si="0"/>
        <v>100</v>
      </c>
      <c r="F91" s="6">
        <f t="shared" si="0"/>
        <v>100</v>
      </c>
      <c r="G91" s="6">
        <f t="shared" si="0"/>
        <v>100.31</v>
      </c>
      <c r="H91" s="6">
        <f t="shared" si="0"/>
        <v>100.41</v>
      </c>
      <c r="I91" s="6">
        <f t="shared" si="0"/>
        <v>99.83</v>
      </c>
      <c r="J91" s="6">
        <f t="shared" si="0"/>
        <v>99.83</v>
      </c>
      <c r="K91" s="6">
        <f t="shared" si="0"/>
        <v>100</v>
      </c>
      <c r="L91" s="6">
        <f t="shared" si="0"/>
        <v>100</v>
      </c>
      <c r="M91" s="6">
        <f>SUM(M47:M90)</f>
        <v>99</v>
      </c>
      <c r="N91" s="6">
        <f t="shared" ref="N91:AB91" si="1">SUM(N47:N90)</f>
        <v>99</v>
      </c>
      <c r="O91" s="6">
        <f t="shared" si="1"/>
        <v>99</v>
      </c>
      <c r="P91">
        <f t="shared" si="1"/>
        <v>98</v>
      </c>
      <c r="Q91">
        <f t="shared" si="1"/>
        <v>98</v>
      </c>
      <c r="R91" s="6">
        <f t="shared" si="1"/>
        <v>132</v>
      </c>
      <c r="S91">
        <f t="shared" ref="S91" si="2">SUM(S47:S90)</f>
        <v>132</v>
      </c>
      <c r="T91">
        <v>132</v>
      </c>
      <c r="U91">
        <f t="shared" ref="U91:AA91" si="3">SUM(U47:U90)</f>
        <v>119</v>
      </c>
      <c r="V91">
        <f t="shared" ref="V91" si="4">SUM(V47:V90)</f>
        <v>119</v>
      </c>
      <c r="W91">
        <v>119</v>
      </c>
      <c r="X91" s="6">
        <f t="shared" si="3"/>
        <v>100</v>
      </c>
      <c r="Y91" s="6">
        <f t="shared" si="3"/>
        <v>100</v>
      </c>
      <c r="Z91" s="6">
        <f t="shared" si="3"/>
        <v>100</v>
      </c>
      <c r="AA91" s="6">
        <f t="shared" si="3"/>
        <v>100</v>
      </c>
      <c r="AB91" s="6">
        <f t="shared" si="1"/>
        <v>100</v>
      </c>
    </row>
    <row r="92" spans="1:28" x14ac:dyDescent="0.3">
      <c r="B92" s="6" t="s">
        <v>88</v>
      </c>
      <c r="C92" s="6" t="s">
        <v>91</v>
      </c>
      <c r="D92" s="6">
        <f>water!D66</f>
        <v>1</v>
      </c>
      <c r="E92" s="6">
        <f>glucose!D66</f>
        <v>1.44</v>
      </c>
      <c r="F92" s="6">
        <f>sucrose!D66</f>
        <v>1.44</v>
      </c>
      <c r="G92" s="6">
        <f>'milk choc'!D66</f>
        <v>1.3</v>
      </c>
      <c r="H92" s="12">
        <f>'milk chocolate arabinose'!D66</f>
        <v>1.3</v>
      </c>
      <c r="I92" s="6">
        <f>'gastic milk choc'!D66</f>
        <v>1.2</v>
      </c>
      <c r="J92" s="6">
        <f>'gastic milk choc arab'!D66</f>
        <v>1.2</v>
      </c>
      <c r="K92" s="6">
        <f>emulsie!D66</f>
        <v>0.95</v>
      </c>
      <c r="L92" s="6">
        <f>arabinose!D66</f>
        <v>1.44</v>
      </c>
      <c r="M92" s="6">
        <v>1.44</v>
      </c>
      <c r="N92" s="6">
        <v>1.44</v>
      </c>
      <c r="O92" s="6">
        <v>1.44</v>
      </c>
      <c r="P92">
        <v>1.4</v>
      </c>
      <c r="Q92">
        <v>1.4</v>
      </c>
      <c r="R92" s="6">
        <v>1.4</v>
      </c>
      <c r="S92">
        <v>1.4</v>
      </c>
      <c r="T92">
        <v>1.4</v>
      </c>
      <c r="U92">
        <v>1.4</v>
      </c>
      <c r="V92">
        <v>1.4</v>
      </c>
      <c r="W92">
        <v>1.4</v>
      </c>
      <c r="X92" s="6">
        <v>1</v>
      </c>
      <c r="Y92" s="6">
        <v>1</v>
      </c>
      <c r="Z92" s="6">
        <v>1</v>
      </c>
      <c r="AA92" s="6">
        <v>1</v>
      </c>
      <c r="AB92" s="7">
        <v>1.4</v>
      </c>
    </row>
  </sheetData>
  <hyperlinks>
    <hyperlink ref="D25" location="water!A1" display="water" xr:uid="{00000000-0004-0000-0000-000000000000}"/>
    <hyperlink ref="E25" location="glucose!A1" display="glucose" xr:uid="{00000000-0004-0000-0000-000001000000}"/>
    <hyperlink ref="F25" location="sucrose!A1" display="sucrose" xr:uid="{00000000-0004-0000-0000-000002000000}"/>
    <hyperlink ref="G25" location="'milk choc'!A1" display="milk choc" xr:uid="{00000000-0004-0000-0000-000003000000}"/>
    <hyperlink ref="H25" location="'milk chocolate arabinose'!A1" display="milk choc arab" xr:uid="{00000000-0004-0000-0000-000004000000}"/>
    <hyperlink ref="I25" location="'gastic milk choc'!A1" display="'gastic milk choc'!A1" xr:uid="{00000000-0004-0000-0000-000005000000}"/>
    <hyperlink ref="J25" location="'gastic milk choc arab'!A1" display="'gastic milk choc arab'!A1" xr:uid="{00000000-0004-0000-0000-000006000000}"/>
    <hyperlink ref="K25" location="emulsie!A1" display="emulsie" xr:uid="{00000000-0004-0000-0000-000007000000}"/>
    <hyperlink ref="L25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2024-04-13T14:38:52Z</dcterms:modified>
</cp:coreProperties>
</file>