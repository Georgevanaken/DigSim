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0" documentId="13_ncr:1_{27263E4E-DDF2-475C-B270-41BE11142D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79" i="3" l="1"/>
  <c r="R79" i="3"/>
  <c r="Q79" i="3" l="1"/>
  <c r="P79" i="3"/>
  <c r="O79" i="3"/>
  <c r="N79" i="3"/>
  <c r="M79" i="3"/>
  <c r="L54" i="3" l="1"/>
  <c r="K54" i="3"/>
  <c r="E54" i="3"/>
  <c r="D54" i="3"/>
  <c r="L53" i="3"/>
  <c r="K53" i="3"/>
  <c r="J53" i="3"/>
  <c r="I53" i="3"/>
  <c r="H53" i="3"/>
  <c r="G53" i="3"/>
  <c r="D53" i="3"/>
  <c r="L52" i="3"/>
  <c r="K52" i="3"/>
  <c r="J52" i="3"/>
  <c r="I52" i="3"/>
  <c r="H52" i="3"/>
  <c r="G52" i="3"/>
  <c r="D52" i="3"/>
  <c r="D55" i="3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0" i="3" l="1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9" i="3" l="1"/>
  <c r="K80" i="3"/>
  <c r="J80" i="3"/>
  <c r="I80" i="3"/>
  <c r="H80" i="3"/>
  <c r="G80" i="3"/>
  <c r="F80" i="3"/>
  <c r="E80" i="3"/>
  <c r="D80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79" i="3" l="1"/>
  <c r="D79" i="3"/>
  <c r="E79" i="3"/>
  <c r="G79" i="3"/>
  <c r="F79" i="3"/>
  <c r="H79" i="3"/>
  <c r="J79" i="3"/>
  <c r="K79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<sst xmlns="http://schemas.openxmlformats.org/spreadsheetml/2006/main" count="1095" uniqueCount="106">
  <si>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</si>
  <si>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</si>
  <si>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</si>
  <si>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</si>
  <si>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</si>
  <si>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</si>
  <si>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</si>
  <si>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</si>
  <si>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</si>
  <si>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</si>
  <si>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</si>
  <si>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</si>
  <si>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</si>
  <si>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</si>
  <si>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</si>
  <si>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</si>
  <si>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</si>
  <si>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</si>
  <si>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</si>
  <si>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</si>
  <si>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</si>
  <si>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</si>
  <si>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</si>
  <si>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</si>
  <si>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</si>
  <si>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</si>
  <si>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</si>
  <si>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</si>
  <si>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</si>
  <si>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</si>
  <si>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</si>
  <si>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</si>
  <si>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</si>
  <si>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</si>
  <si>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</si>
  <si>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</si>
  <si>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</si>
  <si>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</si>
  <si>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</si>
  <si>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</si>
  <si>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</si>
  <si>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</si>
  <si>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</si>
  <si>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</si>
  <si>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</si>
  <si>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</si>
  <si>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</si>
  <si>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</si>
  <si>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</si>
  <si>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</si>
  <si>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</si>
  <si>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</si>
  <si>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</si>
  <si>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</si>
  <si>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</si>
  <si>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</si>
  <si>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</si>
  <si>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</si>
  <si>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</si>
  <si>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</si>
  <si>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</si>
  <si>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</si>
  <si>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</si>
  <si>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</si>
  <si>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</si>
  <si>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</si>
  <si>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</si>
  <si>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</si>
  <si>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</si>
  <si>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</si>
  <si>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</si>
  <si>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</si>
  <si>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</si>
  <si>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</si>
  <si>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</si>
  <si>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</si>
  <si>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</si>
  <si>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</si>
  <si>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</si>
  <si>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</si>
  <si>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</si>
  <si>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</si>
  <si>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</si>
  <si>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</si>
  <si>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</si>
  <si>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</si>
  <si>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</si>
  <si>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</si>
  <si>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</si>
  <si>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</si>
  <si>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</si>
  <si>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</si>
  <si>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</si>
  <si>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</si>
  <si>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</si>
  <si>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</si>
  <si>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</si>
  <si>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</si>
  <si>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</si>
  <si>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</si>
  <si>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</si>
  <si>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</si>
  <si>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</si>
  <si>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</si>
  <si>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</si>
  <si>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Bcasein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</si>
</sst>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topLeftCell="B3" workbookViewId="0">
      <selection activeCell="C8" sqref="C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6" ht="23.4" x14ac:dyDescent="0.45">
      <c r="A1" s="6" t="s">
        <v>0</v>
      </c>
    </row>
    <row r="2" spans="1:26" x14ac:dyDescent="0.3">
      <c r="A2" s="7" t="s">
        <v>76</v>
      </c>
      <c r="D2" s="7" t="s">
        <v>27</v>
      </c>
      <c r="E2" s="7">
        <v>500</v>
      </c>
    </row>
    <row r="4" spans="1:2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6" x14ac:dyDescent="0.3">
      <c r="A6" s="14">
        <v>0</v>
      </c>
      <c r="B6" s="9">
        <v>15</v>
      </c>
      <c r="C6" s="7">
        <v>20</v>
      </c>
      <c r="D6" s="7">
        <v>1</v>
      </c>
      <c r="E6" s="7">
        <v>50</v>
      </c>
      <c r="U6" s="10"/>
      <c r="V6" s="11"/>
      <c r="W6" s="11"/>
    </row>
    <row r="7" spans="1:26" x14ac:dyDescent="0.3">
      <c r="A7" s="14">
        <v>1</v>
      </c>
      <c r="B7" s="9">
        <v>1</v>
      </c>
      <c r="C7" s="7">
        <v>250</v>
      </c>
      <c r="D7" s="7">
        <v>1</v>
      </c>
      <c r="E7" s="7">
        <v>50</v>
      </c>
      <c r="U7" s="10"/>
      <c r="V7" s="11"/>
      <c r="W7" s="11"/>
    </row>
    <row r="8" spans="1:26" x14ac:dyDescent="0.3">
      <c r="A8" s="14">
        <v>200</v>
      </c>
      <c r="B8" s="9">
        <v>16</v>
      </c>
      <c r="C8" s="7">
        <v>20</v>
      </c>
      <c r="D8" s="7">
        <v>1</v>
      </c>
      <c r="E8" s="7">
        <v>50</v>
      </c>
      <c r="U8" s="10"/>
      <c r="V8" s="11"/>
      <c r="W8" s="11"/>
    </row>
    <row r="9" spans="1:26" x14ac:dyDescent="0.3">
      <c r="A9" s="14">
        <v>200.1</v>
      </c>
      <c r="B9" s="9">
        <v>1</v>
      </c>
      <c r="C9">
        <v>250</v>
      </c>
      <c r="D9">
        <v>1</v>
      </c>
      <c r="E9">
        <v>50</v>
      </c>
      <c r="U9" s="10"/>
      <c r="V9" s="11"/>
      <c r="W9" s="11"/>
    </row>
    <row r="10" spans="1:26" x14ac:dyDescent="0.3">
      <c r="A10" s="9">
        <v>9999</v>
      </c>
      <c r="B10" s="8"/>
    </row>
    <row r="11" spans="1:26" x14ac:dyDescent="0.3">
      <c r="B11" s="8"/>
      <c r="C11" s="8"/>
    </row>
    <row r="12" spans="1:26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9999</v>
      </c>
    </row>
    <row r="13" spans="1:26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" t="s">
        <v>6</v>
      </c>
      <c r="S13" s="1" t="s">
        <v>105</v>
      </c>
    </row>
    <row r="14" spans="1:26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 s="8">
        <v>7</v>
      </c>
      <c r="Q14" s="8">
        <v>7</v>
      </c>
      <c r="R14" s="8">
        <v>7</v>
      </c>
      <c r="S14" s="8">
        <v>7</v>
      </c>
    </row>
    <row r="15" spans="1:26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 s="8">
        <v>1</v>
      </c>
      <c r="Q15" s="8">
        <v>1</v>
      </c>
      <c r="R15" s="8">
        <v>1</v>
      </c>
      <c r="S15" s="8">
        <v>1</v>
      </c>
    </row>
    <row r="16" spans="1:26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 s="8">
        <v>10000</v>
      </c>
      <c r="Q16" s="8">
        <v>10000</v>
      </c>
      <c r="R16" s="8">
        <v>1</v>
      </c>
      <c r="S16" s="8">
        <v>1</v>
      </c>
    </row>
    <row r="17" spans="1:20" x14ac:dyDescent="0.3">
      <c r="A17" s="7" t="s">
        <v>34</v>
      </c>
      <c r="C17" s="7" t="s">
        <v>27</v>
      </c>
      <c r="D17" s="7">
        <v>0.1</v>
      </c>
      <c r="E17" s="7">
        <v>0.1</v>
      </c>
      <c r="F17" s="7">
        <v>0.1</v>
      </c>
      <c r="G17" s="7">
        <v>1</v>
      </c>
      <c r="H17" s="13">
        <v>1</v>
      </c>
      <c r="I17" s="7">
        <v>5</v>
      </c>
      <c r="J17" s="7">
        <v>5</v>
      </c>
      <c r="K17" s="7">
        <f>emulsie!D7</f>
        <v>1</v>
      </c>
      <c r="L17" s="7">
        <v>0.1</v>
      </c>
      <c r="M17" s="7">
        <v>10</v>
      </c>
      <c r="N17" s="7">
        <v>50</v>
      </c>
      <c r="O17" s="7">
        <v>1</v>
      </c>
      <c r="P17" s="8">
        <v>10</v>
      </c>
      <c r="Q17" s="8">
        <v>20</v>
      </c>
      <c r="R17" s="8">
        <v>0.1</v>
      </c>
      <c r="S17" s="8">
        <v>0.1</v>
      </c>
    </row>
    <row r="18" spans="1:20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 s="8">
        <v>10</v>
      </c>
      <c r="Q18" s="8">
        <v>11</v>
      </c>
      <c r="R18" s="8">
        <v>0</v>
      </c>
      <c r="S18" s="8">
        <v>0</v>
      </c>
      <c r="T18" s="15"/>
    </row>
    <row r="19" spans="1:20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 s="8">
        <v>50</v>
      </c>
      <c r="Q19" s="8">
        <v>100</v>
      </c>
      <c r="R19" s="8">
        <v>0</v>
      </c>
      <c r="S19" s="8">
        <v>0</v>
      </c>
      <c r="T19" s="11"/>
    </row>
    <row r="20" spans="1:20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 s="8">
        <v>0</v>
      </c>
      <c r="Q20" s="8">
        <v>0</v>
      </c>
      <c r="R20" s="8">
        <v>0</v>
      </c>
      <c r="S20" s="8">
        <v>0</v>
      </c>
      <c r="T20" s="11"/>
    </row>
    <row r="21" spans="1:20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 s="8">
        <v>0</v>
      </c>
      <c r="Q21" s="8">
        <v>0</v>
      </c>
      <c r="R21" s="8">
        <v>0</v>
      </c>
      <c r="S21" s="8">
        <v>0</v>
      </c>
      <c r="T21" s="11"/>
    </row>
    <row r="22" spans="1:20" x14ac:dyDescent="0.3">
      <c r="A22" s="7" t="s">
        <v>35</v>
      </c>
      <c r="C22" s="7" t="s">
        <v>27</v>
      </c>
      <c r="D22" s="7">
        <v>0.1</v>
      </c>
      <c r="E22" s="7">
        <v>0.1</v>
      </c>
      <c r="F22" s="7">
        <v>0.1</v>
      </c>
      <c r="G22" s="7">
        <v>5</v>
      </c>
      <c r="H22" s="13">
        <v>5</v>
      </c>
      <c r="I22" s="7">
        <v>50</v>
      </c>
      <c r="J22" s="7">
        <v>50</v>
      </c>
      <c r="K22" s="7">
        <f>emulsie!D12</f>
        <v>1</v>
      </c>
      <c r="L22" s="7">
        <v>0.1</v>
      </c>
      <c r="M22" s="7">
        <v>10</v>
      </c>
      <c r="N22" s="7">
        <v>50</v>
      </c>
      <c r="O22" s="7">
        <v>1</v>
      </c>
      <c r="P22" s="8">
        <v>10</v>
      </c>
      <c r="Q22" s="8">
        <v>100</v>
      </c>
      <c r="R22" s="8">
        <v>0.1</v>
      </c>
      <c r="S22" s="8">
        <v>0.1</v>
      </c>
    </row>
    <row r="23" spans="1:20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 s="8">
        <v>10</v>
      </c>
      <c r="Q23" s="8">
        <v>11</v>
      </c>
      <c r="R23" s="8">
        <v>0</v>
      </c>
      <c r="S23" s="8">
        <v>0</v>
      </c>
      <c r="T23" s="11"/>
    </row>
    <row r="24" spans="1:20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 s="8">
        <v>50</v>
      </c>
      <c r="Q24" s="8">
        <v>100</v>
      </c>
      <c r="R24" s="8">
        <v>0</v>
      </c>
      <c r="S24" s="8">
        <v>0</v>
      </c>
      <c r="T24" s="11"/>
    </row>
    <row r="25" spans="1:20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8">
        <v>0</v>
      </c>
      <c r="T25" s="11"/>
    </row>
    <row r="26" spans="1:20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 s="8">
        <v>0</v>
      </c>
      <c r="Q26" s="8">
        <v>0</v>
      </c>
      <c r="R26" s="8">
        <v>0</v>
      </c>
      <c r="S26" s="8">
        <v>0</v>
      </c>
      <c r="T26" s="11"/>
    </row>
    <row r="27" spans="1:20" x14ac:dyDescent="0.3">
      <c r="A27" s="7" t="s">
        <v>92</v>
      </c>
      <c r="C27" s="7" t="s">
        <v>27</v>
      </c>
      <c r="D27" s="7">
        <v>0.1</v>
      </c>
      <c r="E27" s="7">
        <v>0.1</v>
      </c>
      <c r="F27" s="7">
        <v>0.1</v>
      </c>
      <c r="G27" s="7">
        <v>1</v>
      </c>
      <c r="H27" s="13">
        <v>1</v>
      </c>
      <c r="I27" s="7">
        <v>1</v>
      </c>
      <c r="J27" s="7">
        <v>1</v>
      </c>
      <c r="K27" s="7">
        <f>emulsie!D17</f>
        <v>1</v>
      </c>
      <c r="L27" s="7">
        <v>0.1</v>
      </c>
      <c r="M27" s="7">
        <v>2</v>
      </c>
      <c r="N27" s="7">
        <v>10</v>
      </c>
      <c r="O27" s="7">
        <v>1</v>
      </c>
      <c r="P27" s="8">
        <v>10</v>
      </c>
      <c r="Q27" s="8">
        <v>100</v>
      </c>
      <c r="R27" s="8">
        <v>0.1</v>
      </c>
      <c r="S27" s="8">
        <v>0.1</v>
      </c>
      <c r="T27" s="11"/>
    </row>
    <row r="28" spans="1:20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 s="8">
        <v>10</v>
      </c>
      <c r="Q28" s="8">
        <v>11</v>
      </c>
      <c r="R28" s="8">
        <v>0</v>
      </c>
      <c r="S28" s="8">
        <v>0</v>
      </c>
      <c r="T28" s="11"/>
    </row>
    <row r="29" spans="1:20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 s="8">
        <v>50</v>
      </c>
      <c r="Q29" s="8">
        <v>100</v>
      </c>
      <c r="R29" s="8">
        <v>0</v>
      </c>
      <c r="S29" s="8">
        <v>0</v>
      </c>
      <c r="T29" s="11"/>
    </row>
    <row r="30" spans="1:20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8">
        <v>0</v>
      </c>
      <c r="T30" s="11"/>
    </row>
    <row r="31" spans="1:20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 s="8">
        <v>0</v>
      </c>
      <c r="Q31" s="8">
        <v>0</v>
      </c>
      <c r="R31" s="8">
        <v>0</v>
      </c>
      <c r="S31" s="8">
        <v>0</v>
      </c>
      <c r="T31" s="11"/>
    </row>
    <row r="32" spans="1:20" x14ac:dyDescent="0.3">
      <c r="H32" s="13"/>
    </row>
    <row r="33" spans="1:19" x14ac:dyDescent="0.3">
      <c r="B33" s="8"/>
      <c r="C33" s="8"/>
      <c r="H33" s="13"/>
    </row>
    <row r="34" spans="1:19" x14ac:dyDescent="0.3">
      <c r="B34" s="8" t="s">
        <v>26</v>
      </c>
      <c r="C34" s="8"/>
      <c r="H34" s="13"/>
    </row>
    <row r="35" spans="1:19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 s="8">
        <v>14</v>
      </c>
      <c r="Q35" s="8">
        <v>14</v>
      </c>
      <c r="R35" s="8">
        <v>0</v>
      </c>
      <c r="S35" s="8">
        <v>0</v>
      </c>
    </row>
    <row r="36" spans="1:19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  <c r="S36" s="8">
        <v>0</v>
      </c>
    </row>
    <row r="37" spans="1:19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  <c r="S37" s="8">
        <v>0</v>
      </c>
    </row>
    <row r="38" spans="1:19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  <c r="S38" s="8">
        <v>0</v>
      </c>
    </row>
    <row r="39" spans="1:19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  <c r="S39" s="8">
        <v>0</v>
      </c>
    </row>
    <row r="40" spans="1:19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</row>
    <row r="41" spans="1:19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 s="8">
        <v>75</v>
      </c>
      <c r="Q41" s="8">
        <v>0</v>
      </c>
      <c r="R41" s="8">
        <v>0</v>
      </c>
      <c r="S41" s="8">
        <v>0</v>
      </c>
    </row>
    <row r="42" spans="1:19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 s="8">
        <v>0</v>
      </c>
      <c r="Q42" s="8">
        <v>75</v>
      </c>
      <c r="R42" s="8">
        <v>0</v>
      </c>
      <c r="S42" s="8">
        <v>0</v>
      </c>
    </row>
    <row r="43" spans="1:19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 s="8">
        <v>0</v>
      </c>
      <c r="Q43" s="8">
        <v>0</v>
      </c>
      <c r="R43" s="8">
        <v>0</v>
      </c>
      <c r="S43" s="8">
        <v>0</v>
      </c>
    </row>
    <row r="44" spans="1:19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  <c r="S44" s="8">
        <v>0</v>
      </c>
    </row>
    <row r="45" spans="1:19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 s="8">
        <v>9</v>
      </c>
      <c r="Q45" s="8">
        <v>9</v>
      </c>
      <c r="R45" s="8">
        <v>0</v>
      </c>
      <c r="S45" s="8">
        <v>0</v>
      </c>
    </row>
    <row r="46" spans="1:19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 s="8">
        <v>0</v>
      </c>
      <c r="Q46" s="8">
        <v>0</v>
      </c>
      <c r="R46" s="8">
        <v>0</v>
      </c>
      <c r="S46" s="8">
        <v>0</v>
      </c>
    </row>
    <row r="47" spans="1:19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  <c r="S47" s="8">
        <v>0</v>
      </c>
    </row>
    <row r="48" spans="1:19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</row>
    <row r="49" spans="1:19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  <c r="S49" s="8">
        <v>0</v>
      </c>
    </row>
    <row r="50" spans="1:19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</row>
    <row r="51" spans="1:19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</row>
    <row r="52" spans="1:19" x14ac:dyDescent="0.3">
      <c r="A52" s="7">
        <v>34</v>
      </c>
      <c r="B52" s="7" t="s">
        <v>101</v>
      </c>
      <c r="C52" s="7" t="s">
        <v>28</v>
      </c>
      <c r="D52" s="7">
        <f>[1]water!D42</f>
        <v>0</v>
      </c>
      <c r="E52" s="7">
        <v>1</v>
      </c>
      <c r="F52" s="7">
        <v>0</v>
      </c>
      <c r="G52" s="7">
        <f>'[1]milk choc'!D42</f>
        <v>0</v>
      </c>
      <c r="H52" s="13">
        <f>'[1]milk chocolate arabinose'!D42</f>
        <v>0</v>
      </c>
      <c r="I52" s="7">
        <f>'[1]gastic milk choc'!D42</f>
        <v>0</v>
      </c>
      <c r="J52" s="7">
        <f>'[1]gastic milk choc arab'!D42</f>
        <v>0</v>
      </c>
      <c r="K52" s="7">
        <f>[1]emulsie!D42</f>
        <v>0</v>
      </c>
      <c r="L52" s="7">
        <f>[1]arabinose!D42</f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8">
        <v>0</v>
      </c>
      <c r="S52" s="8">
        <v>0</v>
      </c>
    </row>
    <row r="53" spans="1:19" x14ac:dyDescent="0.3">
      <c r="A53" s="7">
        <v>35</v>
      </c>
      <c r="B53" s="7" t="s">
        <v>102</v>
      </c>
      <c r="C53" s="7" t="s">
        <v>28</v>
      </c>
      <c r="D53" s="7">
        <f>[1]water!D43</f>
        <v>0</v>
      </c>
      <c r="E53" s="7">
        <v>0</v>
      </c>
      <c r="F53" s="7">
        <v>0</v>
      </c>
      <c r="G53" s="7">
        <f>'[1]milk choc'!D43</f>
        <v>0</v>
      </c>
      <c r="H53" s="13">
        <f>'[1]milk chocolate arabinose'!D43</f>
        <v>0</v>
      </c>
      <c r="I53" s="7">
        <f>'[1]gastic milk choc'!D43</f>
        <v>0</v>
      </c>
      <c r="J53" s="7">
        <f>'[1]gastic milk choc arab'!D43</f>
        <v>0</v>
      </c>
      <c r="K53" s="7">
        <f>[1]emulsie!D43</f>
        <v>0</v>
      </c>
      <c r="L53" s="7">
        <f>[1]arabinose!D43</f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  <c r="S53" s="8">
        <v>0</v>
      </c>
    </row>
    <row r="54" spans="1:19" x14ac:dyDescent="0.3">
      <c r="A54" s="7">
        <v>36</v>
      </c>
      <c r="B54" s="7" t="s">
        <v>103</v>
      </c>
      <c r="C54" s="7" t="s">
        <v>28</v>
      </c>
      <c r="D54" s="7">
        <f>[1]water!D44</f>
        <v>0</v>
      </c>
      <c r="E54" s="7">
        <f>[1]glucose!D44</f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f>[1]emulsie!D44</f>
        <v>0</v>
      </c>
      <c r="L54" s="7">
        <f>[1]arabinose!D44</f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8">
        <v>0</v>
      </c>
      <c r="S54" s="8">
        <v>0</v>
      </c>
    </row>
    <row r="55" spans="1:19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  <c r="S55" s="8">
        <v>0</v>
      </c>
    </row>
    <row r="56" spans="1:19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  <c r="S56" s="8">
        <v>0</v>
      </c>
    </row>
    <row r="57" spans="1:19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  <c r="S57" s="8">
        <v>0</v>
      </c>
    </row>
    <row r="58" spans="1:19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  <c r="S58" s="8">
        <v>0</v>
      </c>
    </row>
    <row r="59" spans="1:19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</row>
    <row r="60" spans="1:19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</row>
    <row r="61" spans="1:19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</row>
    <row r="62" spans="1:19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</row>
    <row r="63" spans="1:19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</row>
    <row r="64" spans="1:19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</row>
    <row r="65" spans="1:19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</row>
    <row r="66" spans="1:19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</row>
    <row r="67" spans="1:19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100</v>
      </c>
    </row>
    <row r="68" spans="1:19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0</v>
      </c>
    </row>
    <row r="69" spans="1:19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</row>
    <row r="70" spans="1:19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</row>
    <row r="71" spans="1:19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</row>
    <row r="72" spans="1:19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</row>
    <row r="73" spans="1:19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100</v>
      </c>
      <c r="S73" s="8">
        <v>0</v>
      </c>
    </row>
    <row r="74" spans="1:19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  <c r="S74" s="8">
        <v>0</v>
      </c>
    </row>
    <row r="75" spans="1:19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  <c r="S75" s="8">
        <v>0</v>
      </c>
    </row>
    <row r="76" spans="1:19" x14ac:dyDescent="0.3">
      <c r="A76" s="7">
        <v>78</v>
      </c>
      <c r="B76" s="7" t="s">
        <v>49</v>
      </c>
      <c r="C76" s="7" t="s">
        <v>28</v>
      </c>
      <c r="D76" s="7">
        <f>water!D62</f>
        <v>0</v>
      </c>
      <c r="E76" s="7">
        <f>glucose!D62</f>
        <v>0</v>
      </c>
      <c r="F76" s="7">
        <f>sucrose!D62</f>
        <v>0</v>
      </c>
      <c r="G76" s="7">
        <f>'milk choc'!D62</f>
        <v>0</v>
      </c>
      <c r="H76" s="13">
        <f>'milk chocolate arabinose'!D62</f>
        <v>0</v>
      </c>
      <c r="I76" s="7">
        <f>'gastic milk choc'!D62</f>
        <v>0</v>
      </c>
      <c r="J76" s="7">
        <f>'gastic milk choc arab'!D62</f>
        <v>0</v>
      </c>
      <c r="K76" s="7">
        <f>emulsie!D62</f>
        <v>0</v>
      </c>
      <c r="L76" s="7">
        <f>arabinose!D62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</row>
    <row r="77" spans="1:19" x14ac:dyDescent="0.3">
      <c r="A77" s="7">
        <v>79</v>
      </c>
      <c r="B77" s="7" t="s">
        <v>50</v>
      </c>
      <c r="C77" s="7" t="s">
        <v>28</v>
      </c>
      <c r="D77" s="7">
        <f>water!D63</f>
        <v>0</v>
      </c>
      <c r="E77" s="7">
        <f>glucose!D63</f>
        <v>0</v>
      </c>
      <c r="F77" s="7">
        <f>sucrose!D63</f>
        <v>0</v>
      </c>
      <c r="G77" s="7">
        <f>'milk choc'!D63</f>
        <v>0</v>
      </c>
      <c r="H77" s="13">
        <f>'milk chocolate arabinose'!D63</f>
        <v>0</v>
      </c>
      <c r="I77" s="7">
        <f>'gastic milk choc'!D63</f>
        <v>0</v>
      </c>
      <c r="J77" s="7">
        <f>'gastic milk choc arab'!D63</f>
        <v>0</v>
      </c>
      <c r="K77" s="7">
        <f>emulsie!D63</f>
        <v>0</v>
      </c>
      <c r="L77" s="7">
        <f>arabinose!D63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  <c r="S77" s="8">
        <v>0</v>
      </c>
    </row>
    <row r="78" spans="1:19" x14ac:dyDescent="0.3">
      <c r="A78" s="7">
        <v>80</v>
      </c>
      <c r="B78" s="7" t="s">
        <v>64</v>
      </c>
      <c r="C78" s="7" t="s">
        <v>51</v>
      </c>
      <c r="D78" s="7">
        <f>water!D64</f>
        <v>0</v>
      </c>
      <c r="E78" s="7">
        <f>glucose!D64</f>
        <v>0</v>
      </c>
      <c r="F78" s="7">
        <f>sucrose!D64</f>
        <v>0</v>
      </c>
      <c r="G78" s="7">
        <f>'milk choc'!D64</f>
        <v>0</v>
      </c>
      <c r="H78" s="13">
        <f>'milk chocolate arabinose'!D64</f>
        <v>0</v>
      </c>
      <c r="I78" s="7">
        <f>'gastic milk choc'!D64</f>
        <v>0</v>
      </c>
      <c r="J78" s="7">
        <f>'gastic milk choc arab'!D64</f>
        <v>0</v>
      </c>
      <c r="K78" s="7">
        <f>emulsie!D64</f>
        <v>0</v>
      </c>
      <c r="L78" s="7">
        <f>arabinose!D64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8">
        <v>0</v>
      </c>
      <c r="S78" s="8">
        <v>0</v>
      </c>
    </row>
    <row r="79" spans="1:19" x14ac:dyDescent="0.3">
      <c r="A79" s="7">
        <v>0</v>
      </c>
      <c r="D79" s="7">
        <f t="shared" ref="D79:L79" si="0">SUM(D35:D78)</f>
        <v>100</v>
      </c>
      <c r="E79" s="7">
        <f t="shared" si="0"/>
        <v>100</v>
      </c>
      <c r="F79" s="7">
        <f t="shared" si="0"/>
        <v>100</v>
      </c>
      <c r="G79" s="7">
        <f t="shared" si="0"/>
        <v>100.31</v>
      </c>
      <c r="H79" s="7">
        <f t="shared" si="0"/>
        <v>100.41</v>
      </c>
      <c r="I79" s="7">
        <f t="shared" si="0"/>
        <v>99.83</v>
      </c>
      <c r="J79" s="7">
        <f t="shared" si="0"/>
        <v>99.83</v>
      </c>
      <c r="K79" s="7">
        <f t="shared" si="0"/>
        <v>100</v>
      </c>
      <c r="L79" s="7">
        <f t="shared" si="0"/>
        <v>100</v>
      </c>
      <c r="M79" s="7">
        <f>SUM(M35:M78)</f>
        <v>99</v>
      </c>
      <c r="N79" s="7">
        <f t="shared" ref="N79:R79" si="1">SUM(N35:N78)</f>
        <v>99</v>
      </c>
      <c r="O79" s="7">
        <f t="shared" si="1"/>
        <v>99</v>
      </c>
      <c r="P79" s="7">
        <f t="shared" si="1"/>
        <v>98</v>
      </c>
      <c r="Q79" s="7">
        <f t="shared" si="1"/>
        <v>98</v>
      </c>
      <c r="R79" s="7">
        <f t="shared" si="1"/>
        <v>100</v>
      </c>
      <c r="S79" s="7">
        <f t="shared" ref="S79" si="2">SUM(S35:S78)</f>
        <v>100</v>
      </c>
    </row>
    <row r="80" spans="1:19" x14ac:dyDescent="0.3">
      <c r="B80" s="7" t="s">
        <v>88</v>
      </c>
      <c r="C80" s="7" t="s">
        <v>91</v>
      </c>
      <c r="D80" s="7">
        <f>water!D66</f>
        <v>1</v>
      </c>
      <c r="E80" s="7">
        <f>glucose!D66</f>
        <v>1.44</v>
      </c>
      <c r="F80" s="7">
        <f>sucrose!D66</f>
        <v>1.44</v>
      </c>
      <c r="G80" s="7">
        <f>'milk choc'!D66</f>
        <v>1.3</v>
      </c>
      <c r="H80" s="13">
        <f>'milk chocolate arabinose'!D66</f>
        <v>1.3</v>
      </c>
      <c r="I80" s="7">
        <f>'gastic milk choc'!D66</f>
        <v>1.2</v>
      </c>
      <c r="J80" s="7">
        <f>'gastic milk choc arab'!D66</f>
        <v>1.2</v>
      </c>
      <c r="K80" s="7">
        <f>emulsie!D66</f>
        <v>0.95</v>
      </c>
      <c r="L80" s="7">
        <f>arabinose!D66</f>
        <v>1.44</v>
      </c>
      <c r="M80" s="7">
        <v>1.44</v>
      </c>
      <c r="N80" s="7">
        <v>1.44</v>
      </c>
      <c r="O80" s="7">
        <v>1.44</v>
      </c>
      <c r="P80" s="8">
        <v>1.4</v>
      </c>
      <c r="Q80" s="8">
        <v>1.4</v>
      </c>
      <c r="R80" s="8">
        <v>1.4</v>
      </c>
      <c r="S80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2023-02-27T11:56:36Z</dcterms:modified>
</cp:coreProperties>
</file>