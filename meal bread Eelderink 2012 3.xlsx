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filterPrivacy="1" defaultThemeVersion="124226"/>
  <xr:revisionPtr revIDLastSave="0" documentId="13_ncr:1_{015A1606-A640-41CC-BD2F-058385ABED8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9" i="3" l="1"/>
  <c r="S79" i="3"/>
  <c r="AA79" i="3" l="1"/>
  <c r="Z79" i="3"/>
  <c r="Y79" i="3"/>
  <c r="X79" i="3"/>
  <c r="U79" i="3"/>
  <c r="R79" i="3"/>
  <c r="AB79" i="3" l="1"/>
  <c r="Q79" i="3" l="1"/>
  <c r="P79" i="3"/>
  <c r="O79" i="3"/>
  <c r="N79" i="3"/>
  <c r="M79" i="3"/>
  <c r="L54" i="3" l="1"/>
  <c r="K54" i="3"/>
  <c r="E54" i="3"/>
  <c r="D54" i="3"/>
  <c r="L53" i="3"/>
  <c r="K53" i="3"/>
  <c r="J53" i="3"/>
  <c r="I53" i="3"/>
  <c r="H53" i="3"/>
  <c r="G53" i="3"/>
  <c r="D53" i="3"/>
  <c r="L52" i="3"/>
  <c r="K52" i="3"/>
  <c r="J52" i="3"/>
  <c r="I52" i="3"/>
  <c r="H52" i="3"/>
  <c r="G52" i="3"/>
  <c r="D52" i="3"/>
  <c r="D55" i="3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0" i="3" l="1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9" i="3" l="1"/>
  <c r="K80" i="3"/>
  <c r="J80" i="3"/>
  <c r="I80" i="3"/>
  <c r="H80" i="3"/>
  <c r="G80" i="3"/>
  <c r="F80" i="3"/>
  <c r="E80" i="3"/>
  <c r="D80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79" i="3" l="1"/>
  <c r="D79" i="3"/>
  <c r="E79" i="3"/>
  <c r="G79" i="3"/>
  <c r="F79" i="3"/>
  <c r="H79" i="3"/>
  <c r="J79" i="3"/>
  <c r="K79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<sst xmlns="http://schemas.openxmlformats.org/spreadsheetml/2006/main" count="1104" uniqueCount="111">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</sst>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 refreshError="1"/>
      <sheetData sheetId="1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 refreshError="1">
        <row r="44">
          <cell r="D44">
            <v>0</v>
          </cell>
        </row>
      </sheetData>
      <sheetData sheetId="3" refreshError="1"/>
      <sheetData sheetId="4" refreshError="1">
        <row r="42">
          <cell r="D42">
            <v>0</v>
          </cell>
        </row>
        <row r="43">
          <cell r="D43">
            <v>0</v>
          </cell>
        </row>
      </sheetData>
      <sheetData sheetId="5" refreshError="1">
        <row r="42">
          <cell r="D42">
            <v>0</v>
          </cell>
        </row>
        <row r="43">
          <cell r="D43">
            <v>0</v>
          </cell>
        </row>
      </sheetData>
      <sheetData sheetId="6" refreshError="1">
        <row r="42">
          <cell r="D42">
            <v>0</v>
          </cell>
        </row>
        <row r="43">
          <cell r="D43">
            <v>0</v>
          </cell>
        </row>
      </sheetData>
      <sheetData sheetId="7" refreshError="1">
        <row r="42">
          <cell r="D42">
            <v>0</v>
          </cell>
        </row>
        <row r="43">
          <cell r="D43">
            <v>0</v>
          </cell>
        </row>
      </sheetData>
      <sheetData sheetId="8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0"/>
  <sheetViews>
    <sheetView tabSelected="1" topLeftCell="A10" workbookViewId="0">
      <selection activeCell="V19" sqref="V1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</v>
      </c>
      <c r="C6" s="7">
        <v>250</v>
      </c>
      <c r="D6" s="7">
        <v>1</v>
      </c>
      <c r="E6" s="7">
        <v>10</v>
      </c>
      <c r="AD6" s="10"/>
      <c r="AE6" s="11"/>
      <c r="AF6" s="11"/>
    </row>
    <row r="7" spans="1:35" x14ac:dyDescent="0.3">
      <c r="A7" s="14">
        <v>1</v>
      </c>
      <c r="B7" s="9">
        <v>15</v>
      </c>
      <c r="C7" s="7">
        <v>132</v>
      </c>
      <c r="D7" s="7">
        <v>2</v>
      </c>
      <c r="E7" s="7">
        <v>50</v>
      </c>
      <c r="AD7" s="10"/>
      <c r="AE7" s="11"/>
      <c r="AF7" s="11"/>
    </row>
    <row r="8" spans="1:35" x14ac:dyDescent="0.3">
      <c r="A8" s="14">
        <v>500</v>
      </c>
      <c r="B8" s="9">
        <v>1</v>
      </c>
      <c r="C8" s="7">
        <v>250</v>
      </c>
      <c r="D8" s="7">
        <v>1</v>
      </c>
      <c r="E8" s="7">
        <v>10</v>
      </c>
      <c r="AD8" s="10"/>
      <c r="AE8" s="11"/>
      <c r="AF8" s="11"/>
    </row>
    <row r="9" spans="1:35" x14ac:dyDescent="0.3">
      <c r="A9" s="14">
        <v>501</v>
      </c>
      <c r="B9" s="9">
        <v>18</v>
      </c>
      <c r="C9" s="15">
        <v>132</v>
      </c>
      <c r="D9" s="15">
        <v>2</v>
      </c>
      <c r="E9" s="7">
        <v>50</v>
      </c>
      <c r="R9" s="15"/>
      <c r="S9" s="15"/>
      <c r="T9" s="15"/>
      <c r="U9" s="15"/>
      <c r="V9" s="15"/>
      <c r="W9" s="15"/>
      <c r="X9" s="15"/>
      <c r="Y9" s="15"/>
      <c r="AA9" s="15"/>
      <c r="AD9" s="10"/>
      <c r="AE9" s="11"/>
      <c r="AF9" s="11"/>
    </row>
    <row r="10" spans="1:35" x14ac:dyDescent="0.3">
      <c r="A10" s="9">
        <v>9999</v>
      </c>
      <c r="B10" s="8"/>
    </row>
    <row r="11" spans="1:35" x14ac:dyDescent="0.3">
      <c r="B11" s="8"/>
      <c r="C11" s="8"/>
    </row>
    <row r="12" spans="1:35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9999</v>
      </c>
    </row>
    <row r="13" spans="1:35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9" t="s">
        <v>105</v>
      </c>
      <c r="S13" s="20" t="s">
        <v>107</v>
      </c>
      <c r="T13" s="20" t="s">
        <v>108</v>
      </c>
      <c r="U13" s="23" t="s">
        <v>106</v>
      </c>
      <c r="V13" s="23" t="s">
        <v>109</v>
      </c>
      <c r="W13" s="23" t="s">
        <v>110</v>
      </c>
      <c r="X13" s="16" t="s">
        <v>8</v>
      </c>
      <c r="Y13" s="16" t="s">
        <v>8</v>
      </c>
      <c r="Z13" s="16" t="s">
        <v>8</v>
      </c>
      <c r="AA13" s="16" t="s">
        <v>8</v>
      </c>
      <c r="AB13" s="1" t="s">
        <v>6</v>
      </c>
    </row>
    <row r="14" spans="1:35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 s="15">
        <v>7</v>
      </c>
      <c r="Q14" s="15">
        <v>7</v>
      </c>
      <c r="R14" s="21">
        <v>7</v>
      </c>
      <c r="S14" s="21">
        <v>7</v>
      </c>
      <c r="T14" s="21">
        <v>7</v>
      </c>
      <c r="U14" s="24">
        <v>7</v>
      </c>
      <c r="V14" s="24">
        <v>7</v>
      </c>
      <c r="W14" s="24">
        <v>7</v>
      </c>
      <c r="X14" s="15">
        <v>0</v>
      </c>
      <c r="Y14" s="15">
        <v>0</v>
      </c>
      <c r="Z14" s="15">
        <v>0</v>
      </c>
      <c r="AA14" s="15">
        <v>0</v>
      </c>
      <c r="AB14" s="8">
        <v>7</v>
      </c>
    </row>
    <row r="15" spans="1:35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 s="15">
        <v>1</v>
      </c>
      <c r="Q15" s="15">
        <v>1</v>
      </c>
      <c r="R15" s="21">
        <v>50</v>
      </c>
      <c r="S15" s="21">
        <v>10</v>
      </c>
      <c r="T15" s="21">
        <v>0.01</v>
      </c>
      <c r="U15" s="24">
        <v>20</v>
      </c>
      <c r="V15" s="24">
        <v>5</v>
      </c>
      <c r="W15" s="24">
        <v>5</v>
      </c>
      <c r="X15" s="15">
        <v>0</v>
      </c>
      <c r="Y15" s="15">
        <v>0</v>
      </c>
      <c r="Z15" s="15">
        <v>0</v>
      </c>
      <c r="AA15" s="15">
        <v>0</v>
      </c>
      <c r="AB15" s="8">
        <v>1</v>
      </c>
    </row>
    <row r="16" spans="1:35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 s="15">
        <v>10000</v>
      </c>
      <c r="Q16" s="15">
        <v>10000</v>
      </c>
      <c r="R16" s="21">
        <v>1000</v>
      </c>
      <c r="S16" s="21">
        <v>100</v>
      </c>
      <c r="T16" s="21">
        <v>10</v>
      </c>
      <c r="U16" s="24">
        <v>1000</v>
      </c>
      <c r="V16" s="24">
        <v>10</v>
      </c>
      <c r="W16" s="24">
        <v>10</v>
      </c>
      <c r="X16" s="15">
        <v>0</v>
      </c>
      <c r="Y16" s="15">
        <v>0</v>
      </c>
      <c r="Z16" s="15">
        <v>0</v>
      </c>
      <c r="AA16" s="15">
        <v>0</v>
      </c>
      <c r="AB16" s="8">
        <v>1</v>
      </c>
    </row>
    <row r="17" spans="1:29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7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22">
        <v>1</v>
      </c>
      <c r="S17" s="22">
        <v>1</v>
      </c>
      <c r="T17" s="22">
        <v>1</v>
      </c>
      <c r="U17" s="25">
        <v>1</v>
      </c>
      <c r="V17" s="25">
        <v>20</v>
      </c>
      <c r="W17" s="25">
        <v>1</v>
      </c>
      <c r="X17" s="1">
        <v>0.1</v>
      </c>
      <c r="Y17" s="1">
        <v>0.1</v>
      </c>
      <c r="Z17" s="1">
        <v>0.1</v>
      </c>
      <c r="AA17" s="1">
        <v>0.1</v>
      </c>
      <c r="AB17" s="1">
        <v>1</v>
      </c>
    </row>
    <row r="18" spans="1:29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 s="15">
        <v>10</v>
      </c>
      <c r="Q18" s="15">
        <v>11</v>
      </c>
      <c r="R18" s="21">
        <v>16</v>
      </c>
      <c r="S18" s="21">
        <v>17</v>
      </c>
      <c r="T18" s="21">
        <v>0</v>
      </c>
      <c r="U18" s="24">
        <v>19</v>
      </c>
      <c r="V18" s="24">
        <v>20</v>
      </c>
      <c r="W18" s="24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 s="15">
        <v>50</v>
      </c>
      <c r="Q19" s="15">
        <v>100</v>
      </c>
      <c r="R19" s="21">
        <v>100</v>
      </c>
      <c r="S19" s="21">
        <v>50</v>
      </c>
      <c r="T19" s="21">
        <v>0</v>
      </c>
      <c r="U19" s="24">
        <v>80</v>
      </c>
      <c r="V19" s="24">
        <v>80</v>
      </c>
      <c r="W19" s="24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 s="15">
        <v>0</v>
      </c>
      <c r="Q20" s="15">
        <v>0</v>
      </c>
      <c r="R20" s="21">
        <v>0</v>
      </c>
      <c r="S20" s="21">
        <v>0</v>
      </c>
      <c r="T20" s="21">
        <v>0</v>
      </c>
      <c r="U20" s="24">
        <v>0</v>
      </c>
      <c r="V20" s="24">
        <v>0</v>
      </c>
      <c r="W20" s="24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 s="15">
        <v>0</v>
      </c>
      <c r="Q21" s="15">
        <v>0</v>
      </c>
      <c r="R21" s="21">
        <v>0</v>
      </c>
      <c r="S21" s="21">
        <v>0</v>
      </c>
      <c r="T21" s="21">
        <v>0</v>
      </c>
      <c r="U21" s="24">
        <v>0</v>
      </c>
      <c r="V21" s="24">
        <v>0</v>
      </c>
      <c r="W21" s="24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1"/>
    </row>
    <row r="22" spans="1:29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7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22">
        <v>1</v>
      </c>
      <c r="S22" s="22">
        <v>1</v>
      </c>
      <c r="T22" s="22">
        <v>1</v>
      </c>
      <c r="U22" s="25">
        <v>10</v>
      </c>
      <c r="V22" s="25">
        <v>20</v>
      </c>
      <c r="W22" s="25">
        <v>20</v>
      </c>
      <c r="X22" s="1">
        <v>0.1</v>
      </c>
      <c r="Y22" s="1">
        <v>0.1</v>
      </c>
      <c r="Z22" s="1">
        <v>0.1</v>
      </c>
      <c r="AA22" s="1">
        <v>0.1</v>
      </c>
      <c r="AB22" s="1">
        <v>1</v>
      </c>
    </row>
    <row r="23" spans="1:29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 s="15">
        <v>10</v>
      </c>
      <c r="Q23" s="15">
        <v>11</v>
      </c>
      <c r="R23" s="21">
        <v>16</v>
      </c>
      <c r="S23" s="21">
        <v>17</v>
      </c>
      <c r="T23" s="21">
        <v>0</v>
      </c>
      <c r="U23" s="24">
        <v>19</v>
      </c>
      <c r="V23" s="24">
        <v>20</v>
      </c>
      <c r="W23" s="24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 s="15">
        <v>50</v>
      </c>
      <c r="Q24" s="15">
        <v>100</v>
      </c>
      <c r="R24" s="21">
        <v>100</v>
      </c>
      <c r="S24" s="21">
        <v>50</v>
      </c>
      <c r="T24" s="21">
        <v>0</v>
      </c>
      <c r="U24" s="24">
        <v>50</v>
      </c>
      <c r="V24" s="24">
        <v>100</v>
      </c>
      <c r="W24" s="24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 s="15">
        <v>0</v>
      </c>
      <c r="Q25" s="15">
        <v>0</v>
      </c>
      <c r="R25" s="21">
        <v>17</v>
      </c>
      <c r="S25" s="21">
        <v>0</v>
      </c>
      <c r="T25" s="21">
        <v>0</v>
      </c>
      <c r="U25" s="24">
        <v>20</v>
      </c>
      <c r="V25" s="24">
        <v>0</v>
      </c>
      <c r="W25" s="24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 s="15">
        <v>0</v>
      </c>
      <c r="Q26" s="15">
        <v>0</v>
      </c>
      <c r="R26" s="21">
        <v>0</v>
      </c>
      <c r="S26" s="21">
        <v>0</v>
      </c>
      <c r="T26" s="21">
        <v>0</v>
      </c>
      <c r="U26" s="24">
        <v>50</v>
      </c>
      <c r="V26" s="24">
        <v>0</v>
      </c>
      <c r="W26" s="24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7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22">
        <v>1</v>
      </c>
      <c r="S27" s="22">
        <v>1</v>
      </c>
      <c r="T27" s="22">
        <v>1</v>
      </c>
      <c r="U27" s="25">
        <v>10</v>
      </c>
      <c r="V27" s="25">
        <v>20</v>
      </c>
      <c r="W27" s="25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8"/>
    </row>
    <row r="28" spans="1:29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 s="15">
        <v>10</v>
      </c>
      <c r="Q28" s="15">
        <v>11</v>
      </c>
      <c r="R28" s="21">
        <v>16</v>
      </c>
      <c r="S28" s="21">
        <v>17</v>
      </c>
      <c r="T28" s="21">
        <v>0</v>
      </c>
      <c r="U28" s="24">
        <v>19</v>
      </c>
      <c r="V28" s="24">
        <v>20</v>
      </c>
      <c r="W28" s="24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 s="15">
        <v>50</v>
      </c>
      <c r="Q29" s="15">
        <v>100</v>
      </c>
      <c r="R29" s="21">
        <v>100</v>
      </c>
      <c r="S29" s="21">
        <v>50</v>
      </c>
      <c r="T29" s="21">
        <v>0</v>
      </c>
      <c r="U29" s="24">
        <v>50</v>
      </c>
      <c r="V29" s="24">
        <v>100</v>
      </c>
      <c r="W29" s="24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 s="15">
        <v>0</v>
      </c>
      <c r="Q30" s="15">
        <v>0</v>
      </c>
      <c r="R30" s="21">
        <v>0</v>
      </c>
      <c r="S30" s="21">
        <v>0</v>
      </c>
      <c r="T30" s="21">
        <v>0</v>
      </c>
      <c r="U30" s="24">
        <v>20</v>
      </c>
      <c r="V30" s="24">
        <v>0</v>
      </c>
      <c r="W30" s="24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 s="15">
        <v>0</v>
      </c>
      <c r="Q31" s="15">
        <v>0</v>
      </c>
      <c r="R31" s="21">
        <v>0</v>
      </c>
      <c r="S31" s="21">
        <v>0</v>
      </c>
      <c r="T31" s="21">
        <v>0</v>
      </c>
      <c r="U31" s="24">
        <v>50</v>
      </c>
      <c r="V31" s="24">
        <v>0</v>
      </c>
      <c r="W31" s="24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H32" s="13"/>
      <c r="P32" s="15"/>
      <c r="Q32" s="15"/>
      <c r="S32" s="15"/>
      <c r="T32" s="15"/>
      <c r="U32" s="15"/>
      <c r="V32" s="15"/>
      <c r="W32" s="15"/>
    </row>
    <row r="33" spans="1:28" x14ac:dyDescent="0.3">
      <c r="B33" s="8"/>
      <c r="C33" s="8"/>
      <c r="H33" s="13"/>
      <c r="P33" s="15"/>
      <c r="Q33" s="15"/>
      <c r="S33" s="15"/>
      <c r="T33" s="15"/>
      <c r="U33" s="15"/>
      <c r="V33" s="15"/>
      <c r="W33" s="15"/>
    </row>
    <row r="34" spans="1:28" x14ac:dyDescent="0.3">
      <c r="B34" s="8" t="s">
        <v>26</v>
      </c>
      <c r="C34" s="8"/>
      <c r="H34" s="13"/>
      <c r="P34" s="15"/>
      <c r="Q34" s="15"/>
      <c r="S34" s="15"/>
      <c r="T34" s="15"/>
      <c r="U34" s="15"/>
      <c r="V34" s="15"/>
      <c r="W34" s="15"/>
    </row>
    <row r="35" spans="1:28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 s="15">
        <v>14</v>
      </c>
      <c r="Q35" s="15">
        <v>14</v>
      </c>
      <c r="R35" s="7">
        <v>67</v>
      </c>
      <c r="S35" s="15">
        <v>67</v>
      </c>
      <c r="T35" s="15">
        <v>67</v>
      </c>
      <c r="U35" s="15">
        <v>54</v>
      </c>
      <c r="V35" s="15">
        <v>54</v>
      </c>
      <c r="W35" s="1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</row>
    <row r="36" spans="1:28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 s="15">
        <v>0</v>
      </c>
      <c r="Q36" s="15">
        <v>0</v>
      </c>
      <c r="R36" s="7">
        <v>9</v>
      </c>
      <c r="S36" s="15">
        <v>9</v>
      </c>
      <c r="T36" s="15">
        <v>9</v>
      </c>
      <c r="U36" s="15">
        <v>9</v>
      </c>
      <c r="V36" s="15">
        <v>9</v>
      </c>
      <c r="W36" s="15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 s="15">
        <v>0</v>
      </c>
      <c r="Q37" s="15">
        <v>0</v>
      </c>
      <c r="R37" s="7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 s="15">
        <v>0</v>
      </c>
      <c r="Q38" s="15">
        <v>0</v>
      </c>
      <c r="R38" s="7">
        <v>6</v>
      </c>
      <c r="S38" s="15">
        <v>6</v>
      </c>
      <c r="T38" s="15">
        <v>6</v>
      </c>
      <c r="U38" s="15">
        <v>6</v>
      </c>
      <c r="V38" s="15">
        <v>6</v>
      </c>
      <c r="W38" s="15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 s="15">
        <v>0</v>
      </c>
      <c r="Q39" s="15">
        <v>0</v>
      </c>
      <c r="R39" s="7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 s="15">
        <v>0</v>
      </c>
      <c r="Q40" s="15">
        <v>0</v>
      </c>
      <c r="R40" s="7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 s="15">
        <v>75</v>
      </c>
      <c r="Q41" s="15">
        <v>0</v>
      </c>
      <c r="R41" s="7">
        <v>50</v>
      </c>
      <c r="S41" s="15">
        <v>50</v>
      </c>
      <c r="T41" s="15">
        <v>50</v>
      </c>
      <c r="U41" s="15">
        <v>50</v>
      </c>
      <c r="V41" s="15">
        <v>50</v>
      </c>
      <c r="W41" s="15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 s="15">
        <v>0</v>
      </c>
      <c r="Q42" s="15">
        <v>75</v>
      </c>
      <c r="R42" s="7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 s="15">
        <v>0</v>
      </c>
      <c r="Q43" s="15">
        <v>0</v>
      </c>
      <c r="R43" s="7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 s="15">
        <v>0</v>
      </c>
      <c r="Q44" s="15">
        <v>0</v>
      </c>
      <c r="R44" s="7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 s="15">
        <v>9</v>
      </c>
      <c r="Q45" s="15">
        <v>9</v>
      </c>
      <c r="R45" s="7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 s="15">
        <v>0</v>
      </c>
      <c r="Q47" s="15">
        <v>0</v>
      </c>
      <c r="R47" s="7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15">
        <v>0</v>
      </c>
      <c r="Q48" s="15">
        <v>0</v>
      </c>
      <c r="R48" s="7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 s="15">
        <v>0</v>
      </c>
      <c r="Q49" s="15">
        <v>0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 s="15">
        <v>0</v>
      </c>
      <c r="Q51" s="15">
        <v>0</v>
      </c>
      <c r="R51" s="7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34</v>
      </c>
      <c r="B52" s="7" t="s">
        <v>101</v>
      </c>
      <c r="C52" s="7" t="s">
        <v>28</v>
      </c>
      <c r="D52" s="7">
        <f>[1]water!D42</f>
        <v>0</v>
      </c>
      <c r="E52" s="7">
        <v>1</v>
      </c>
      <c r="F52" s="7">
        <v>0</v>
      </c>
      <c r="G52" s="7">
        <f>'[1]milk choc'!D42</f>
        <v>0</v>
      </c>
      <c r="H52" s="13">
        <f>'[1]milk chocolate arabinose'!D42</f>
        <v>0</v>
      </c>
      <c r="I52" s="7">
        <f>'[1]gastic milk choc'!D42</f>
        <v>0</v>
      </c>
      <c r="J52" s="7">
        <f>'[1]gastic milk choc arab'!D42</f>
        <v>0</v>
      </c>
      <c r="K52" s="7">
        <f>[1]emulsie!D42</f>
        <v>0</v>
      </c>
      <c r="L52" s="7">
        <f>[1]arabinose!D42</f>
        <v>0</v>
      </c>
      <c r="M52" s="7">
        <v>0</v>
      </c>
      <c r="N52" s="7">
        <v>0</v>
      </c>
      <c r="O52" s="7">
        <v>0</v>
      </c>
      <c r="P52" s="15">
        <v>0</v>
      </c>
      <c r="Q52" s="15">
        <v>0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35</v>
      </c>
      <c r="B53" s="7" t="s">
        <v>102</v>
      </c>
      <c r="C53" s="7" t="s">
        <v>28</v>
      </c>
      <c r="D53" s="7">
        <f>[1]water!D43</f>
        <v>0</v>
      </c>
      <c r="E53" s="7">
        <v>0</v>
      </c>
      <c r="F53" s="7">
        <v>0</v>
      </c>
      <c r="G53" s="7">
        <f>'[1]milk choc'!D43</f>
        <v>0</v>
      </c>
      <c r="H53" s="13">
        <f>'[1]milk chocolate arabinose'!D43</f>
        <v>0</v>
      </c>
      <c r="I53" s="7">
        <f>'[1]gastic milk choc'!D43</f>
        <v>0</v>
      </c>
      <c r="J53" s="7">
        <f>'[1]gastic milk choc arab'!D43</f>
        <v>0</v>
      </c>
      <c r="K53" s="7">
        <f>[1]emulsie!D43</f>
        <v>0</v>
      </c>
      <c r="L53" s="7">
        <f>[1]arabinose!D43</f>
        <v>0</v>
      </c>
      <c r="M53" s="7">
        <v>0</v>
      </c>
      <c r="N53" s="7">
        <v>0</v>
      </c>
      <c r="O53" s="7">
        <v>0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36</v>
      </c>
      <c r="B54" s="7" t="s">
        <v>103</v>
      </c>
      <c r="C54" s="7" t="s">
        <v>28</v>
      </c>
      <c r="D54" s="7">
        <f>[1]water!D44</f>
        <v>0</v>
      </c>
      <c r="E54" s="7">
        <f>[1]glucose!D44</f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f>[1]emulsie!D44</f>
        <v>0</v>
      </c>
      <c r="L54" s="7">
        <f>[1]arabinose!D44</f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 s="15">
        <v>0</v>
      </c>
      <c r="Q55" s="15">
        <v>0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</row>
    <row r="74" spans="1:28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78</v>
      </c>
      <c r="B76" s="7" t="s">
        <v>49</v>
      </c>
      <c r="C76" s="7" t="s">
        <v>28</v>
      </c>
      <c r="D76" s="7">
        <f>water!D62</f>
        <v>0</v>
      </c>
      <c r="E76" s="7">
        <f>glucose!D62</f>
        <v>0</v>
      </c>
      <c r="F76" s="7">
        <f>sucrose!D62</f>
        <v>0</v>
      </c>
      <c r="G76" s="7">
        <f>'milk choc'!D62</f>
        <v>0</v>
      </c>
      <c r="H76" s="13">
        <f>'milk chocolate arabinose'!D62</f>
        <v>0</v>
      </c>
      <c r="I76" s="7">
        <f>'gastic milk choc'!D62</f>
        <v>0</v>
      </c>
      <c r="J76" s="7">
        <f>'gastic milk choc arab'!D62</f>
        <v>0</v>
      </c>
      <c r="K76" s="7">
        <f>emulsie!D62</f>
        <v>0</v>
      </c>
      <c r="L76" s="7">
        <f>arabinose!D62</f>
        <v>0</v>
      </c>
      <c r="M76" s="7">
        <v>0</v>
      </c>
      <c r="N76" s="7">
        <v>0</v>
      </c>
      <c r="O76" s="7">
        <v>0</v>
      </c>
      <c r="P76" s="15">
        <v>0</v>
      </c>
      <c r="Q76" s="15">
        <v>0</v>
      </c>
      <c r="R76" s="7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79</v>
      </c>
      <c r="B77" s="7" t="s">
        <v>50</v>
      </c>
      <c r="C77" s="7" t="s">
        <v>28</v>
      </c>
      <c r="D77" s="7">
        <f>water!D63</f>
        <v>0</v>
      </c>
      <c r="E77" s="7">
        <f>glucose!D63</f>
        <v>0</v>
      </c>
      <c r="F77" s="7">
        <f>sucrose!D63</f>
        <v>0</v>
      </c>
      <c r="G77" s="7">
        <f>'milk choc'!D63</f>
        <v>0</v>
      </c>
      <c r="H77" s="13">
        <f>'milk chocolate arabinose'!D63</f>
        <v>0</v>
      </c>
      <c r="I77" s="7">
        <f>'gastic milk choc'!D63</f>
        <v>0</v>
      </c>
      <c r="J77" s="7">
        <f>'gastic milk choc arab'!D63</f>
        <v>0</v>
      </c>
      <c r="K77" s="7">
        <f>emulsie!D63</f>
        <v>0</v>
      </c>
      <c r="L77" s="7">
        <f>arabinose!D63</f>
        <v>0</v>
      </c>
      <c r="M77" s="7">
        <v>0</v>
      </c>
      <c r="N77" s="7">
        <v>0</v>
      </c>
      <c r="O77" s="7">
        <v>0</v>
      </c>
      <c r="P77" s="15">
        <v>0</v>
      </c>
      <c r="Q77" s="15">
        <v>0</v>
      </c>
      <c r="R77" s="7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80</v>
      </c>
      <c r="B78" s="7" t="s">
        <v>64</v>
      </c>
      <c r="C78" s="7" t="s">
        <v>51</v>
      </c>
      <c r="D78" s="7">
        <f>water!D64</f>
        <v>0</v>
      </c>
      <c r="E78" s="7">
        <f>glucose!D64</f>
        <v>0</v>
      </c>
      <c r="F78" s="7">
        <f>sucrose!D64</f>
        <v>0</v>
      </c>
      <c r="G78" s="7">
        <f>'milk choc'!D64</f>
        <v>0</v>
      </c>
      <c r="H78" s="13">
        <f>'milk chocolate arabinose'!D64</f>
        <v>0</v>
      </c>
      <c r="I78" s="7">
        <f>'gastic milk choc'!D64</f>
        <v>0</v>
      </c>
      <c r="J78" s="7">
        <f>'gastic milk choc arab'!D64</f>
        <v>0</v>
      </c>
      <c r="K78" s="7">
        <f>emulsie!D64</f>
        <v>0</v>
      </c>
      <c r="L78" s="7">
        <f>arabinose!D64</f>
        <v>0</v>
      </c>
      <c r="M78" s="7">
        <v>0</v>
      </c>
      <c r="N78" s="7">
        <v>0</v>
      </c>
      <c r="O78" s="7">
        <v>0</v>
      </c>
      <c r="P78" s="15">
        <v>0</v>
      </c>
      <c r="Q78" s="15">
        <v>0</v>
      </c>
      <c r="R78" s="7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0</v>
      </c>
      <c r="D79" s="7">
        <f t="shared" ref="D79:L79" si="0">SUM(D35:D78)</f>
        <v>100</v>
      </c>
      <c r="E79" s="7">
        <f t="shared" si="0"/>
        <v>100</v>
      </c>
      <c r="F79" s="7">
        <f t="shared" si="0"/>
        <v>100</v>
      </c>
      <c r="G79" s="7">
        <f t="shared" si="0"/>
        <v>100.31</v>
      </c>
      <c r="H79" s="7">
        <f t="shared" si="0"/>
        <v>100.41</v>
      </c>
      <c r="I79" s="7">
        <f t="shared" si="0"/>
        <v>99.83</v>
      </c>
      <c r="J79" s="7">
        <f t="shared" si="0"/>
        <v>99.83</v>
      </c>
      <c r="K79" s="7">
        <f t="shared" si="0"/>
        <v>100</v>
      </c>
      <c r="L79" s="7">
        <f t="shared" si="0"/>
        <v>100</v>
      </c>
      <c r="M79" s="7">
        <f>SUM(M35:M78)</f>
        <v>99</v>
      </c>
      <c r="N79" s="7">
        <f t="shared" ref="N79:AB79" si="1">SUM(N35:N78)</f>
        <v>99</v>
      </c>
      <c r="O79" s="7">
        <f t="shared" si="1"/>
        <v>99</v>
      </c>
      <c r="P79" s="15">
        <f t="shared" si="1"/>
        <v>98</v>
      </c>
      <c r="Q79" s="15">
        <f t="shared" si="1"/>
        <v>98</v>
      </c>
      <c r="R79" s="7">
        <f t="shared" si="1"/>
        <v>132</v>
      </c>
      <c r="S79" s="15">
        <f t="shared" ref="S79" si="2">SUM(S35:S78)</f>
        <v>132</v>
      </c>
      <c r="T79" s="15">
        <v>132</v>
      </c>
      <c r="U79" s="15">
        <f t="shared" ref="U79:AA79" si="3">SUM(U35:U78)</f>
        <v>119</v>
      </c>
      <c r="V79" s="15">
        <f t="shared" ref="V79" si="4">SUM(V35:V78)</f>
        <v>119</v>
      </c>
      <c r="W79" s="15">
        <v>119</v>
      </c>
      <c r="X79" s="7">
        <f t="shared" si="3"/>
        <v>100</v>
      </c>
      <c r="Y79" s="7">
        <f t="shared" si="3"/>
        <v>100</v>
      </c>
      <c r="Z79" s="7">
        <f t="shared" si="3"/>
        <v>100</v>
      </c>
      <c r="AA79" s="7">
        <f t="shared" si="3"/>
        <v>100</v>
      </c>
      <c r="AB79" s="7">
        <f t="shared" si="1"/>
        <v>100</v>
      </c>
    </row>
    <row r="80" spans="1:28" x14ac:dyDescent="0.3">
      <c r="B80" s="7" t="s">
        <v>88</v>
      </c>
      <c r="C80" s="7" t="s">
        <v>91</v>
      </c>
      <c r="D80" s="7">
        <f>water!D66</f>
        <v>1</v>
      </c>
      <c r="E80" s="7">
        <f>glucose!D66</f>
        <v>1.44</v>
      </c>
      <c r="F80" s="7">
        <f>sucrose!D66</f>
        <v>1.44</v>
      </c>
      <c r="G80" s="7">
        <f>'milk choc'!D66</f>
        <v>1.3</v>
      </c>
      <c r="H80" s="13">
        <f>'milk chocolate arabinose'!D66</f>
        <v>1.3</v>
      </c>
      <c r="I80" s="7">
        <f>'gastic milk choc'!D66</f>
        <v>1.2</v>
      </c>
      <c r="J80" s="7">
        <f>'gastic milk choc arab'!D66</f>
        <v>1.2</v>
      </c>
      <c r="K80" s="7">
        <f>emulsie!D66</f>
        <v>0.95</v>
      </c>
      <c r="L80" s="7">
        <f>arabinose!D66</f>
        <v>1.44</v>
      </c>
      <c r="M80" s="7">
        <v>1.44</v>
      </c>
      <c r="N80" s="7">
        <v>1.44</v>
      </c>
      <c r="O80" s="7">
        <v>1.44</v>
      </c>
      <c r="P80" s="15">
        <v>1.4</v>
      </c>
      <c r="Q80" s="15">
        <v>1.4</v>
      </c>
      <c r="R80" s="7">
        <v>1.4</v>
      </c>
      <c r="S80" s="15">
        <v>1.4</v>
      </c>
      <c r="T80" s="15">
        <v>1.4</v>
      </c>
      <c r="U80" s="15">
        <v>1.4</v>
      </c>
      <c r="V80" s="15">
        <v>1.4</v>
      </c>
      <c r="W80" s="15">
        <v>1.4</v>
      </c>
      <c r="X80" s="7">
        <v>1</v>
      </c>
      <c r="Y80" s="7">
        <v>1</v>
      </c>
      <c r="Z80" s="7">
        <v>1</v>
      </c>
      <c r="AA80" s="7">
        <v>1</v>
      </c>
      <c r="AB80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13</vt:i4>
      </vt:variant>
      <vt:variant>
        <vt:lpstr>Benoemde bereiken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2020-02-29T13:26:11Z</dcterms:modified>
</cp:coreProperties>
</file>